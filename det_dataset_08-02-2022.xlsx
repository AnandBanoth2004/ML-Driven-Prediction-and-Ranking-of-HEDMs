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((new)energetic)_materials\Predictions_and_thermodynamics\vod_data\"/>
    </mc:Choice>
  </mc:AlternateContent>
  <xr:revisionPtr revIDLastSave="0" documentId="13_ncr:1_{408AA8E0-29D3-489D-9B58-C8377AF93D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" sheetId="4" r:id="rId1"/>
    <sheet name="references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8" i="4" l="1"/>
  <c r="G259" i="4"/>
  <c r="G260" i="4"/>
  <c r="G232" i="4" l="1"/>
  <c r="G210" i="4"/>
  <c r="G116" i="4" l="1"/>
  <c r="G61" i="4" l="1"/>
  <c r="G42" i="4"/>
  <c r="G119" i="4"/>
  <c r="G103" i="4"/>
  <c r="G27" i="4"/>
  <c r="G136" i="4" l="1"/>
  <c r="G43" i="4"/>
  <c r="G16" i="4" l="1"/>
  <c r="G15" i="4"/>
  <c r="G62" i="4"/>
  <c r="G74" i="4"/>
  <c r="G167" i="4"/>
  <c r="G64" i="4"/>
  <c r="G17" i="4"/>
  <c r="G122" i="4" l="1"/>
  <c r="G95" i="4" l="1"/>
  <c r="G153" i="4"/>
  <c r="G81" i="4"/>
  <c r="G26" i="4"/>
  <c r="G112" i="4" l="1"/>
  <c r="G149" i="4"/>
  <c r="G170" i="4"/>
  <c r="G118" i="4"/>
  <c r="G169" i="4" l="1"/>
  <c r="G204" i="4"/>
  <c r="G168" i="4"/>
  <c r="G190" i="4"/>
  <c r="G105" i="4"/>
  <c r="G192" i="4" l="1"/>
  <c r="G4" i="4" l="1"/>
  <c r="G198" i="4"/>
  <c r="G209" i="4"/>
  <c r="G67" i="4" l="1"/>
  <c r="G196" i="4"/>
  <c r="G129" i="4"/>
  <c r="G189" i="4"/>
  <c r="G31" i="4"/>
  <c r="G2" i="4"/>
  <c r="G19" i="4"/>
</calcChain>
</file>

<file path=xl/sharedStrings.xml><?xml version="1.0" encoding="utf-8"?>
<sst xmlns="http://schemas.openxmlformats.org/spreadsheetml/2006/main" count="2141" uniqueCount="1608">
  <si>
    <t>RDX</t>
  </si>
  <si>
    <t>HMX</t>
  </si>
  <si>
    <t>CL-20</t>
  </si>
  <si>
    <t>PETN</t>
  </si>
  <si>
    <t>Cmpd</t>
  </si>
  <si>
    <t>TNT</t>
  </si>
  <si>
    <t>BTF</t>
  </si>
  <si>
    <t>HNB</t>
  </si>
  <si>
    <t>VODexp</t>
  </si>
  <si>
    <t>CN4O8</t>
  </si>
  <si>
    <t>Tetranitromethane</t>
  </si>
  <si>
    <t>C7H5N3O6</t>
  </si>
  <si>
    <t>C4H8N8O8</t>
  </si>
  <si>
    <t>Hexanitroethane</t>
  </si>
  <si>
    <t>C2N6O12</t>
  </si>
  <si>
    <t>C6N6O6</t>
  </si>
  <si>
    <t>C6N6O12</t>
  </si>
  <si>
    <t>C6N12O6</t>
  </si>
  <si>
    <t>C5H8N4O12</t>
  </si>
  <si>
    <t>C3N12</t>
  </si>
  <si>
    <t>C4N8O8</t>
  </si>
  <si>
    <t>C6H6N12O12</t>
  </si>
  <si>
    <t>TNM</t>
  </si>
  <si>
    <t>HNE</t>
  </si>
  <si>
    <t>TNTAB</t>
  </si>
  <si>
    <t>C3H6N6O6</t>
  </si>
  <si>
    <t>C4N6O8</t>
  </si>
  <si>
    <t>C3H5N3O9</t>
  </si>
  <si>
    <t>NG</t>
  </si>
  <si>
    <t>TATB</t>
  </si>
  <si>
    <t>C6H6N6O6</t>
  </si>
  <si>
    <t>FOX-7</t>
  </si>
  <si>
    <t>34-DNP</t>
  </si>
  <si>
    <t>HNS</t>
  </si>
  <si>
    <t>C14H6N6O12</t>
  </si>
  <si>
    <t>C5H6N4O10F2</t>
  </si>
  <si>
    <t>FEFO</t>
  </si>
  <si>
    <t>Bis(2,2-Dinitro-2-Fluoroethyl)Formal</t>
  </si>
  <si>
    <t>C6H2N3O6Cl</t>
  </si>
  <si>
    <t>C6H8N8O12F2</t>
  </si>
  <si>
    <t>1,8-Difluoro-1,1,3,6,8,8-Hexanitro-3,6-Diazaoctane</t>
  </si>
  <si>
    <t>C4H4N4O9F2</t>
  </si>
  <si>
    <t>C2H2N3O7F</t>
  </si>
  <si>
    <t>2-Fluoro-2,2-Dinitroethyl Nitrate</t>
  </si>
  <si>
    <t>Tetranitroglycoluril</t>
  </si>
  <si>
    <t>TNGU</t>
  </si>
  <si>
    <t>DINGU</t>
  </si>
  <si>
    <t>C4H4N6O6</t>
  </si>
  <si>
    <t>C4H2N8O10</t>
  </si>
  <si>
    <t>C4H6N2F4</t>
  </si>
  <si>
    <t>C12H4N8O8</t>
  </si>
  <si>
    <t>CH6N3O4Cl</t>
  </si>
  <si>
    <t>Guanidine Perchlorate</t>
  </si>
  <si>
    <t>CH6NO4Cl</t>
  </si>
  <si>
    <t>Methylamine Perchlorate</t>
  </si>
  <si>
    <t>NTO</t>
  </si>
  <si>
    <t>C2H2N4O3</t>
  </si>
  <si>
    <t>TNAZ</t>
  </si>
  <si>
    <t>C3H4N4O6</t>
  </si>
  <si>
    <t>PATO</t>
  </si>
  <si>
    <t>H5N3O3</t>
  </si>
  <si>
    <t>Hydrazine Nitrate</t>
  </si>
  <si>
    <t>Tetryl</t>
  </si>
  <si>
    <t>C7H5N5O8</t>
  </si>
  <si>
    <t>PYX</t>
  </si>
  <si>
    <t>DNNC</t>
  </si>
  <si>
    <t>ANTA</t>
  </si>
  <si>
    <t>CL-14</t>
  </si>
  <si>
    <t>DAAF</t>
  </si>
  <si>
    <t>TNPy</t>
  </si>
  <si>
    <t>DANTNP</t>
  </si>
  <si>
    <t>3,4-Dinitropyrazole</t>
  </si>
  <si>
    <t>C3H2N4O4</t>
  </si>
  <si>
    <t>1-Methyl-3, 5-dinitro-1,2,4-triazole</t>
  </si>
  <si>
    <t>DMNT</t>
  </si>
  <si>
    <t>C3H3N5O4</t>
  </si>
  <si>
    <t>C3H2N6O3</t>
  </si>
  <si>
    <t>C4H4N8O4</t>
  </si>
  <si>
    <t>DDF</t>
  </si>
  <si>
    <t>C6N8O7</t>
  </si>
  <si>
    <t xml:space="preserve"> </t>
  </si>
  <si>
    <t>TACOT</t>
  </si>
  <si>
    <t>BC-HMX</t>
  </si>
  <si>
    <t>TATP</t>
  </si>
  <si>
    <t>Triacetone Triperoxide</t>
  </si>
  <si>
    <t xml:space="preserve">C9H18O6  </t>
  </si>
  <si>
    <t>Hexamethylenetriperoxidediamine</t>
  </si>
  <si>
    <t>HMTD</t>
  </si>
  <si>
    <t xml:space="preserve">C6H12N2O6  </t>
  </si>
  <si>
    <t>2,4,6-Trinitrochlorobenzene</t>
  </si>
  <si>
    <t>TNAD</t>
  </si>
  <si>
    <t>K-6</t>
  </si>
  <si>
    <t>ZOX</t>
  </si>
  <si>
    <t>C6H8N10O16</t>
  </si>
  <si>
    <t>C6H4N6O6</t>
  </si>
  <si>
    <t>C4H4N8O3</t>
  </si>
  <si>
    <t>DAAzF</t>
  </si>
  <si>
    <t>BNFF</t>
  </si>
  <si>
    <t>24-DNI</t>
  </si>
  <si>
    <t>C2H3N5O2</t>
  </si>
  <si>
    <t>TAGN</t>
  </si>
  <si>
    <t>Triaminoguanidine nitrate</t>
  </si>
  <si>
    <t>ADN</t>
  </si>
  <si>
    <t>C5H2N4O6</t>
  </si>
  <si>
    <t>LLM-105</t>
  </si>
  <si>
    <t>C2H2N6O5</t>
  </si>
  <si>
    <t>5-nitro-1,2,3,4-tetrazole-2-ylmethyl nitrate</t>
  </si>
  <si>
    <t>CHN5O2</t>
  </si>
  <si>
    <t>ADNBF</t>
  </si>
  <si>
    <t>K-55</t>
  </si>
  <si>
    <t>GUDN</t>
  </si>
  <si>
    <t>TEX</t>
  </si>
  <si>
    <t>BTPTAP</t>
  </si>
  <si>
    <t>2,4,8,10-tetranitro-5H-pyrido[3', 2':4, 5] [1,2,3] triazolo [1,2-a] benzotriazol-6-ium inner salt</t>
  </si>
  <si>
    <t>C11H3N9O8</t>
  </si>
  <si>
    <t>DHT</t>
  </si>
  <si>
    <t>LAX-112</t>
  </si>
  <si>
    <t>NQ</t>
  </si>
  <si>
    <t>DNQ</t>
  </si>
  <si>
    <t>ANQ</t>
  </si>
  <si>
    <t>AMP</t>
  </si>
  <si>
    <t>BAED</t>
  </si>
  <si>
    <t>DINA</t>
  </si>
  <si>
    <t>NITRA</t>
  </si>
  <si>
    <t>DADPyOx</t>
  </si>
  <si>
    <t>2-MNDPy</t>
  </si>
  <si>
    <t>TMNTz</t>
  </si>
  <si>
    <t>ADPy</t>
  </si>
  <si>
    <t>ADPyOx</t>
  </si>
  <si>
    <t>AHDPy</t>
  </si>
  <si>
    <t>DADPy</t>
  </si>
  <si>
    <t>4-Amino-3,5-dinitropyridine</t>
  </si>
  <si>
    <t>4-Amino-3,5-dinitropyridine-N-oxide</t>
  </si>
  <si>
    <t>C5H4N4O4</t>
  </si>
  <si>
    <t>Aminonitroguanidine</t>
  </si>
  <si>
    <t>2,6-Diamino-3,5-dinitropyridine-N-oxide</t>
  </si>
  <si>
    <t>2,6-Diamino-3,5-dinitropyridine</t>
  </si>
  <si>
    <t>2,6-Bis(methylnitramino)-3,5-dinitropyridine</t>
  </si>
  <si>
    <t>3-Nitramino-1,2,4-triazole</t>
  </si>
  <si>
    <t>2-Amino-6-hydroxy-3,5-dinitropyridine</t>
  </si>
  <si>
    <t>BTNEU</t>
  </si>
  <si>
    <t>C5H6N8O13</t>
  </si>
  <si>
    <t>BTNEN</t>
  </si>
  <si>
    <t>DATB</t>
  </si>
  <si>
    <t>DIPAM</t>
  </si>
  <si>
    <t>MHN</t>
  </si>
  <si>
    <t>EDNA</t>
  </si>
  <si>
    <t>DNPN</t>
  </si>
  <si>
    <t>NIBTN</t>
  </si>
  <si>
    <t>TPEON</t>
  </si>
  <si>
    <t>EDD</t>
  </si>
  <si>
    <t>SMILES</t>
  </si>
  <si>
    <t>C(C(CO[N+](=O)[O-])O[N+](=O)[O-])O[N+](=O)[O-]</t>
  </si>
  <si>
    <t>Nitroglycerin</t>
  </si>
  <si>
    <t>HCO</t>
  </si>
  <si>
    <t>TKX-50</t>
  </si>
  <si>
    <t>MAD-X1</t>
  </si>
  <si>
    <t>BDNAPM</t>
  </si>
  <si>
    <t>BTNPM</t>
  </si>
  <si>
    <t>TKX-55</t>
  </si>
  <si>
    <t xml:space="preserve">C2H8N10O4 </t>
  </si>
  <si>
    <t xml:space="preserve">C1(=NN=NN1[O-])C2=NN=NN2[O-].[NH3+]O.[NH3+]O </t>
  </si>
  <si>
    <t xml:space="preserve">bis(4-amino-3,5-dinitropyrazol-1-yl)methane </t>
  </si>
  <si>
    <t xml:space="preserve">bis(3,4,5-trinitropyrazol-1-yl)methane </t>
  </si>
  <si>
    <t>NM</t>
  </si>
  <si>
    <t>PA</t>
  </si>
  <si>
    <t>Picric acid</t>
  </si>
  <si>
    <t>AN</t>
  </si>
  <si>
    <t>DEGN</t>
  </si>
  <si>
    <t>HNAB</t>
  </si>
  <si>
    <t>ABH</t>
  </si>
  <si>
    <t>Azo-bis-(2,2',4,4',6,6'-Hexanitrobiphenyl)</t>
  </si>
  <si>
    <t>C24H6N14O24</t>
  </si>
  <si>
    <t xml:space="preserve">C1=C(C=C(C(=C1[N+](=O)[O-])C2=C(C(=C(C=C2[N+](=O)[O-])[N+](=O)[O-])N=NC3=C(C=C(C(=C3[N+](=O)[O-])C4=C(C=C(C=C4[N+](=O)[O-])[N+](=O)[O-])[N+](=O)[O-])[N+](=O)[O-])[N+](=O)[O-])[N+](=O)[O-])[N+](=O)[O-])[N+](=O)[O-] </t>
  </si>
  <si>
    <t xml:space="preserve">C1=C(C(=C(C(=C1[N+](=O)[O-])N)[N+](=O)[O-])N)[N+](=O)[O-] </t>
  </si>
  <si>
    <t>2,4,6-Trinitrobenzene-1,3-Diamine</t>
  </si>
  <si>
    <t>C6H5N5O6</t>
  </si>
  <si>
    <t>Diethylene Glycol Dinitrate</t>
  </si>
  <si>
    <t>C(CO[N+](=O)[O-])OCCO[N+](=O)[O-]</t>
  </si>
  <si>
    <t xml:space="preserve">C4H8N2O7 </t>
  </si>
  <si>
    <t>C1=C(C(=C(C(=C1[N+](=O)[O-])N)[N+](=O)[O-])C2=C(C(=C(C=C2[N+](=O)[O-])[N+](=O)[O-])N)[N+](=O)[O-])[N+](=O)[O-]</t>
  </si>
  <si>
    <t>C12H6N8O12</t>
  </si>
  <si>
    <t>Explosive D</t>
  </si>
  <si>
    <t xml:space="preserve">C6H6N4O7 </t>
  </si>
  <si>
    <t>C1=C(C=C(C(=C1[N+](=O)[O-])[O-])[N+](=O)[O-])[N+](=O)[O-].[NH4+]</t>
  </si>
  <si>
    <t>Ammonium picrate</t>
  </si>
  <si>
    <t>C1N(CN(CN(CN1[N+](=O)[O-])[N+](=O)[O-])[N+](=O)[O-])[N+](=O)[O-]</t>
  </si>
  <si>
    <t>1,3,5,7-Tetranitro-1,3,5,7-Tetrazocane</t>
  </si>
  <si>
    <t>C12H4N8O12</t>
  </si>
  <si>
    <t>Bis(2,4,6-trinitrophenyl)diazene</t>
  </si>
  <si>
    <t>C1=C(C=C(C(=C1[N+](=O)[O-])N=NC2=C(C=C(C=C2[N+](=O)[O-])[N+](=O)[O-])[N+](=O)[O-])[N+](=O)[O-])[N+](=O)[O-]</t>
  </si>
  <si>
    <t>2,2',4,4',6,6'-Hexanitrostilbene</t>
  </si>
  <si>
    <t>C1=C(C=C(C(=C1[N+](=O)[O-])/C=C/C2=C(C=C(C=C2[N+](=O)[O-])[N+](=O)[O-])[N+](=O)[O-])[N+](=O)[O-])[N+](=O)[O-]</t>
  </si>
  <si>
    <t>CH3NO2</t>
  </si>
  <si>
    <t xml:space="preserve">C[N+](=O)[O-]  </t>
  </si>
  <si>
    <t>Nitromethane</t>
  </si>
  <si>
    <t>NONA</t>
  </si>
  <si>
    <t>C18H5N9O18</t>
  </si>
  <si>
    <t>2,2',2'',4,4',4'',6,6',6''-Nonanitro-M-Terphenyl</t>
  </si>
  <si>
    <t>C1=C(C=C(C(=C1[N+](=O)[O-])C2=C(C(=C(C=C2[N+](=O)[O-])[N+](=O)[O-])C3=C(C=C(C=C3[N+](=O)[O-])[N+](=O)[O-])[N+](=O)[O-])[N+](=O)[O-])[N+](=O)[O-])[N+](=O)[O-]</t>
  </si>
  <si>
    <t>CH4N4O2</t>
  </si>
  <si>
    <t>C(=N)(N)N[N+](=O)[O-]</t>
  </si>
  <si>
    <t>Nitroguanidine</t>
  </si>
  <si>
    <t>C(C(CO[N+](=O)[O-])(CO[N+](=O)[O-])CO[N+](=O)[O-])O[N+](=O)[O-]</t>
  </si>
  <si>
    <t>Pentaerythritol tetranitrate</t>
  </si>
  <si>
    <t>C1=C(C=C(C(=C1[N+](=O)[O-])O)[N+](=O)[O-])[N+](=O)[O-]</t>
  </si>
  <si>
    <t>C6H3N3O7</t>
  </si>
  <si>
    <t>C1N(CN(CN1[N+](=O)[O-])[N+](=O)[O-])[N+](=O)[O-]</t>
  </si>
  <si>
    <t>1,3,5-Trinitro-1,3,5-Triazinane</t>
  </si>
  <si>
    <t>1,3,7,9-Tetranitrobenzotriazolo[2,1-A]Benzotriazol-5-Ium-6-Ide</t>
  </si>
  <si>
    <t xml:space="preserve">C1=C(C=C(C2=C1N3N=C4C(=CC(=CC4=[N+]3[N-]2)[N+](=O)[O-])[N+](=O)[O-])[N+](=O)[O-])[N+](=O)[O-] </t>
  </si>
  <si>
    <t>Benzotrifuroxan</t>
  </si>
  <si>
    <t xml:space="preserve">C12=NO[N+](=C1C3=NO[N+](=C3C4=NO[N+](=C24)[O-])[O-])[O-] </t>
  </si>
  <si>
    <t>N-Methyl-N-Picrylnitramine</t>
  </si>
  <si>
    <t>CN(C1=C(C=C(C=C1[N+](=O)[O-])[N+](=O)[O-])[N+](=O)[O-])[N+](=O)[O-]</t>
  </si>
  <si>
    <t xml:space="preserve">2-Methyl-1,3,5-trinitrobenzene  </t>
  </si>
  <si>
    <t xml:space="preserve">CC1=C(C=C(C=C1[N+](=O)[O-])[N+](=O)[O-])[N+](=O)[O-] </t>
  </si>
  <si>
    <t>Hexanitrobenzene</t>
  </si>
  <si>
    <t xml:space="preserve">C1(=C(C(=C(C(=C1[N+](=O)[O-])[N+](=O)[O-])[N+](=O)[O-])[N+](=O)[O-])[N+](=O)[O-])[N+](=O)[O-]  </t>
  </si>
  <si>
    <t xml:space="preserve">C([N+](=O)[O-])([N+](=O)[O-])([N+](=O)[O-])[N+](=O)[O-] </t>
  </si>
  <si>
    <t xml:space="preserve">C1(=C(C(=C(C(=C1[N+](=O)[O-])N=[N+]=[N-])[N+](=O)[O-])N=[N+]=[N-])[N+](=O)[O-])N=[N+]=[N-] </t>
  </si>
  <si>
    <t>C(C([N+](=O)[O-])([N+](=O)[O-])F)OCOCC([N+](=O)[O-])([N+](=O)[O-])F</t>
  </si>
  <si>
    <t>Ammonium perchlorate</t>
  </si>
  <si>
    <t>AP</t>
  </si>
  <si>
    <t xml:space="preserve">C12C3N(C4C(N3[N+](=O)[O-])N(C(N1[N+](=O)[O-])C(N2[N+](=O)[O-])N4[N+](=O)[O-])[N+](=O)[O-])[N+](=O)[O-] </t>
  </si>
  <si>
    <t>Hexanitrohexaazaisowurtzitane</t>
  </si>
  <si>
    <t>C6H6N8O10</t>
  </si>
  <si>
    <t>4,4’,5,5’-tetranitro-2,2’-bi-imidazole dihydrate</t>
  </si>
  <si>
    <t>C4H8N10O8</t>
  </si>
  <si>
    <t>C1(=NC(=NN1[O-])[N+](=O)[O-])C2=NC(=NN2[O-])[N+](=O)[O-].[NH3+]O.[NH3+]O</t>
  </si>
  <si>
    <t>C16H4N10O14</t>
  </si>
  <si>
    <t>C1=C(C=C(C(=C1[N+](=O)[O-])C2=NN=C(O2)C3=NN=C(O3)C4=C(C=C(C=C4[N+](=O)[O-])[N+](=O)[O-])[N+](=O)[O-])[N+](=O)[O-])[N+](=O)[O-]</t>
  </si>
  <si>
    <t>C7H2N10O12</t>
  </si>
  <si>
    <t>C7H6N10O8</t>
  </si>
  <si>
    <t>C(N1C(=C(C(=N1)[N+](=O)[O-])[N+](=O)[O-])[N+](=O)[O-])N2C(=C(C(=N2)[N+](=O)[O-])[N+](=O)[O-])[N+](=O)[O-]</t>
  </si>
  <si>
    <t xml:space="preserve">C(N1C(=C(C(=N1)[N+](=O)[O-])N)[N+](=O)[O-])N2C(=C(C(=N2)[N+](=O)[O-])N)[N+](=O)[O-] </t>
  </si>
  <si>
    <t>DNTF</t>
  </si>
  <si>
    <t>3,4-dinitrofurazanfuroxan</t>
  </si>
  <si>
    <t>C6N8O8</t>
  </si>
  <si>
    <t>C1(=NON=C1C2=NON=C2[N+](=O)[O-])C3=NON=C3[N+](=O)[O-]</t>
  </si>
  <si>
    <t>3,4-bis(4-nitrofurazan-3-yl)-furazan</t>
  </si>
  <si>
    <t>[NH4+].[O-]Cl(=O)(=O)=O</t>
  </si>
  <si>
    <t>H4NO4Cl</t>
  </si>
  <si>
    <t>C1(=NO[N+](=C1C2=NON=C2[N+](=O)[O-])[O-])C3=NON=C3[N+](=O)[O-]</t>
  </si>
  <si>
    <t xml:space="preserve">C1(=C(C(=C(C(=C1[N+](=O)[O-])N)[N+](=O)[O-])N)[N+](=O)[O-])N </t>
  </si>
  <si>
    <t>2,4,6-trinitrobenzene-1,3,5-triamine</t>
  </si>
  <si>
    <t>5-NT</t>
  </si>
  <si>
    <t>NTMN</t>
  </si>
  <si>
    <t xml:space="preserve">C1(=NNN=N1)[N+](=O)[O-] </t>
  </si>
  <si>
    <t>FTDO</t>
  </si>
  <si>
    <t>C2N6O3</t>
  </si>
  <si>
    <t>C12=NON=C1[N+](=N[N+](=N2)[O-])[O-]</t>
  </si>
  <si>
    <t>C1=C(C(=C(C=N1)[N+](=O)[O-])N)[N+](=O)[O-]</t>
  </si>
  <si>
    <t>C5H5N5O5</t>
  </si>
  <si>
    <t>CC1(OOC(OOC(OO1)(C)C)(C)C)C</t>
  </si>
  <si>
    <t>C6H6N6O14</t>
  </si>
  <si>
    <t>2,2,2-Trinitroethyl 4,4,4-Trinitrobutanoate</t>
  </si>
  <si>
    <t xml:space="preserve">C(CC([N+](=O)[O-])([N+](=O)[O-])[N+](=O)[O-])C(=O)OCC([N+](=O)[O-])([N+](=O)[O-])[N+](=O)[O-] </t>
  </si>
  <si>
    <t>TNETNB</t>
  </si>
  <si>
    <t>C18H6N8O16</t>
  </si>
  <si>
    <t>EGDN</t>
  </si>
  <si>
    <t>TEGDN</t>
  </si>
  <si>
    <t>Propyleneglycol dinitrate</t>
  </si>
  <si>
    <t>IPN</t>
  </si>
  <si>
    <t>PGDN</t>
  </si>
  <si>
    <t>C2H4N2O6</t>
  </si>
  <si>
    <t>C(CO[N+](=O)[O-])O[N+](=O)[O-]</t>
  </si>
  <si>
    <t>Ethylene glycol dinitrate</t>
  </si>
  <si>
    <t>Triethylene Glycol Dinitrate</t>
  </si>
  <si>
    <t>C(COCCO[N+](=O)[O-])OCCO[N+](=O)[O-]</t>
  </si>
  <si>
    <t>C6H12N2O8</t>
  </si>
  <si>
    <t>C(CO[N+](=O)[O-])CO[N+](=O)[O-]</t>
  </si>
  <si>
    <t>C3H6N2O6</t>
  </si>
  <si>
    <t>Methyl nitrate</t>
  </si>
  <si>
    <t xml:space="preserve">CO[N+](=O)[O-] </t>
  </si>
  <si>
    <t>MN</t>
  </si>
  <si>
    <t xml:space="preserve">CH3NO3 </t>
  </si>
  <si>
    <t>Glyceryl 1,2-dinitrate</t>
  </si>
  <si>
    <t>GlyDN</t>
  </si>
  <si>
    <t>C3H6N2O7</t>
  </si>
  <si>
    <t>3-Chloropropane-1,2-diol dinitrate</t>
  </si>
  <si>
    <t>Glycidyl nitrate</t>
  </si>
  <si>
    <t>GlyN</t>
  </si>
  <si>
    <t>C3H5NO4</t>
  </si>
  <si>
    <t>C1C(O1)CO[N+](=O)[O-]</t>
  </si>
  <si>
    <t>Ethyle nitrate</t>
  </si>
  <si>
    <t>EN</t>
  </si>
  <si>
    <t>C2H5NO3</t>
  </si>
  <si>
    <t>CCO[N+](=O)[O-]</t>
  </si>
  <si>
    <t>Nitroisobutylglycerin-trinitrate</t>
  </si>
  <si>
    <t>C(C(CO[N+](=O)[O-])(CO[N+](=O)[O-])[N+](=O)[O-])O[N+](=O)[O-]</t>
  </si>
  <si>
    <t>C4H6N4O11</t>
  </si>
  <si>
    <t>C7H12N6O3</t>
  </si>
  <si>
    <t>DA</t>
  </si>
  <si>
    <t>CC(=O)OC(CN=[N+]=[N-])COCCN=[N+]=[N-]</t>
  </si>
  <si>
    <t>Isopropylnitrate</t>
  </si>
  <si>
    <t>C3H7NO3</t>
  </si>
  <si>
    <t>CC(C)O[N+](=O)[O-]</t>
  </si>
  <si>
    <t>ONT</t>
  </si>
  <si>
    <t>C1=C(C=C(C(=C1[N+](=O)[O-])C2=CC(=C(C=C2[N+](=O)[O-])[N+](=O)[O-])C3=C(C=C(C=C3[N+](=O)[O-])[N+](=O)[O-])[N+](=O)[O-])[N+](=O)[O-])[N+](=O)[O-]</t>
  </si>
  <si>
    <t>2,4,6-Trinitroaniline</t>
  </si>
  <si>
    <t>C6H4N4O6</t>
  </si>
  <si>
    <t>C1=C(C=C(C(=C1[N+](=O)[O-])N)[N+](=O)[O-])[N+](=O)[O-]</t>
  </si>
  <si>
    <t>Picramide</t>
  </si>
  <si>
    <t>Ethylenedinitramine</t>
  </si>
  <si>
    <t xml:space="preserve">C(CN[N+](=O)[O-])N[N+](=O)[O-] </t>
  </si>
  <si>
    <t>C2H6N4O4</t>
  </si>
  <si>
    <t>C(CO[N+](=O)[O-])N(CCO[N+](=O)[O-])[N+](=O)[O-]</t>
  </si>
  <si>
    <t>Nitro-bis-(2-nitryloxy-ethyl)-amine</t>
  </si>
  <si>
    <t>C4H4N8O14</t>
  </si>
  <si>
    <t xml:space="preserve">C(C([N+](=O)[O-])([N+](=O)[O-])[N+](=O)[O-])N(CC([N+](=O)[O-])([N+](=O)[O-])[N+](=O)[O-])[N+](=O)[O-] </t>
  </si>
  <si>
    <t>Bistrinitroethylnitramine</t>
  </si>
  <si>
    <t>m-DNB</t>
  </si>
  <si>
    <t>C6H4N2O4</t>
  </si>
  <si>
    <t>1,3-Dinitrobenzene</t>
  </si>
  <si>
    <t>C1=CC(=CC(=C1)[N+](=O)[O-])[N+](=O)[O-]</t>
  </si>
  <si>
    <t>C10H16N6O19</t>
  </si>
  <si>
    <t>Dipentaerythritol Hexanitrate</t>
  </si>
  <si>
    <t>C(C(CO[N+](=O)[O-])(CO[N+](=O)[O-])CO[N+](=O)[O-])OCC(CO[N+](=O)[O-])(CO[N+](=O)[O-])CO[N+](=O)[O-]</t>
  </si>
  <si>
    <t>C12H4N6O12</t>
  </si>
  <si>
    <t>HNDP</t>
  </si>
  <si>
    <t>2,2',4,4',6,6'-Hexanitrobiphenyl</t>
  </si>
  <si>
    <t>HNBP</t>
  </si>
  <si>
    <t>C8H7N3O7</t>
  </si>
  <si>
    <t>Ethyl Picrate</t>
  </si>
  <si>
    <t>EtP</t>
  </si>
  <si>
    <t>CCOC1=C(C=C(C=C1[N+](=O)[O-])[N+](=O)[O-])[N+](=O)[O-]</t>
  </si>
  <si>
    <t>C3H6N6O3</t>
  </si>
  <si>
    <t>TTT</t>
  </si>
  <si>
    <t>Trinitrosotrimethylenetriamine</t>
  </si>
  <si>
    <t>C1N(CN(CN1N=O)N=O)N=O</t>
  </si>
  <si>
    <t>C8H7N3O8</t>
  </si>
  <si>
    <t>DNPEN</t>
  </si>
  <si>
    <t xml:space="preserve">C1=CC(=C(C=C1[N+](=O)[O-])[N+](=O)[O-])OCCO[N+](=O)[O-] </t>
  </si>
  <si>
    <t>C12H5N7O12</t>
  </si>
  <si>
    <t xml:space="preserve">C1=C(C=C(C(=C1[N+](=O)[O-])NC2=C(C=C(C=C2[N+](=O)[O-])[N+](=O)[O-])[N+](=O)[O-])[N+](=O)[O-])[N+](=O)[O-] </t>
  </si>
  <si>
    <t>Hexanitrodiphenylamine</t>
  </si>
  <si>
    <t>C10H12N6O16</t>
  </si>
  <si>
    <t>C(CCC(=O)OCC([N+](=O)[O-])([N+](=O)[O-])[N+](=O)[O-])CC(=O)OCC([N+](=O)[O-])([N+](=O)[O-])[N+](=O)[O-]</t>
  </si>
  <si>
    <t>BTNEA</t>
  </si>
  <si>
    <t>C6H10N6O10</t>
  </si>
  <si>
    <t>C9H9N15O18</t>
  </si>
  <si>
    <t>C9H12N4O13</t>
  </si>
  <si>
    <t>C7H9N5O12</t>
  </si>
  <si>
    <t>Bis(2,2-dinitropropyl)-nitramine</t>
  </si>
  <si>
    <t xml:space="preserve">CC(CN(CC(C)([N+](=O)[O-])[N+](=O)[O-])[N+](=O)[O-])([N+](=O)[O-])[N+](=O)[O-]  </t>
  </si>
  <si>
    <t>TTET</t>
  </si>
  <si>
    <t xml:space="preserve">C(C([N+](=O)[O-])([N+](=O)[O-])[N+](=O)[O-])NC1=NC(=NC(=N1)NCC([N+](=O)[O-])([N+](=O)[O-])[N+](=O)[O-])NCC([N+](=O)[O-])([N+](=O)[O-])[N+](=O)[O-] </t>
  </si>
  <si>
    <t>Fivonite</t>
  </si>
  <si>
    <t>Tetramethylolcyclopentanone Tetranitrate</t>
  </si>
  <si>
    <t>C1CC(C(=O)C1(CO[N+](=O)[O-])CO[N+](=O)[O-])(CO[N+](=O)[O-])CO[N+](=O)[O-]</t>
  </si>
  <si>
    <t>C6H8N6O18</t>
  </si>
  <si>
    <t>C([C@H]([C@H]([C@@H]([C@@H](CO[N+](=O)[O-])O[N+](=O)[O-])O[N+](=O)[O-])O[N+](=O)[O-])O[N+](=O)[O-])O[N+](=O)[O-]</t>
  </si>
  <si>
    <t xml:space="preserve">C12C(N(C(=O)N1[N+](=O)[O-])[N+](=O)[O-])N(C(=O)N2[N+](=O)[O-])[N+](=O)[O-] </t>
  </si>
  <si>
    <t>DNPTB</t>
  </si>
  <si>
    <t>2,2-Dinitropropyl-4,4,4-trinitrobutyrate</t>
  </si>
  <si>
    <t>CC(COC(=O)CCC([N+](=O)[O-])([N+](=O)[O-])[N+](=O)[O-])([N+](=O)[O-])[N+](=O)[O-]</t>
  </si>
  <si>
    <t xml:space="preserve">C12C(NC(=O)N1[N+](=O)[O-])N(C(=O)N2)[N+](=O)[O-] </t>
  </si>
  <si>
    <t>1,4-Dinitroglycoluril</t>
  </si>
  <si>
    <t>C7H5N3O7</t>
  </si>
  <si>
    <t>C4H6N4O6</t>
  </si>
  <si>
    <t>C2H10N4O6</t>
  </si>
  <si>
    <t xml:space="preserve">COC1=C(C=C(C=C1[N+](=O)[O-])[N+](=O)[O-])[N+](=O)[O-] </t>
  </si>
  <si>
    <t>2,4,6-Trinitroanisole</t>
  </si>
  <si>
    <t>Trinol</t>
  </si>
  <si>
    <t>Dinitrodimethyloxamide</t>
  </si>
  <si>
    <t>DNDMO</t>
  </si>
  <si>
    <t>CN(C(=O)C(=O)N(C)[N+](=O)[O-])[N+](=O)[O-]</t>
  </si>
  <si>
    <t>Ethylenediamine dinitrate</t>
  </si>
  <si>
    <t>C(CN)N.[N+](=O)(O)[O-].[N+](=O)(O)[O-]</t>
  </si>
  <si>
    <t>1,3-Bis(2,2,2-trinitroethyl)urea</t>
  </si>
  <si>
    <t>C(C([N+](=O)[O-])([N+](=O)[O-])[N+](=O)[O-])NC(=O)NCC([N+](=O)[O-])([N+](=O)[O-])[N+](=O)[O-]</t>
  </si>
  <si>
    <t>TMETN</t>
  </si>
  <si>
    <t>Metriol Trinitrate</t>
  </si>
  <si>
    <t>C5H9N3O9</t>
  </si>
  <si>
    <t xml:space="preserve">CC(CO[N+](=O)[O-])(CO[N+](=O)[O-])CO[N+](=O)[O-] </t>
  </si>
  <si>
    <t>C1(=O)NC(=NN1)[N+](=O)[O-]</t>
  </si>
  <si>
    <t>Nitro-1,2,4-Triazol-5-One</t>
  </si>
  <si>
    <t>1,3,3-Trinitroazetidine</t>
  </si>
  <si>
    <t>C1C(CN1[N+](=O)[O-])([N+](=O)[O-])[N+](=O)[O-]</t>
  </si>
  <si>
    <t>C1=C(C=C(C(=C1[N+](=O)[O-])NC2=NC=NN2)[N+](=O)[O-])[N+](=O)[O-]</t>
  </si>
  <si>
    <t>2,6-Bis(picrylamino)-3,5-dinitropyridine</t>
  </si>
  <si>
    <t xml:space="preserve">C1=C(C=C(C(=C1[N+](=O)[O-])NC2=C(C=C(C(=N2)NC3=C(C=C(C=C3[N+](=O)[O-])[N+](=O)[O-])[N+](=O)[O-])[N+](=O)[O-])[N+](=O)[O-])[N+](=O)[O-])[N+](=O)[O-]  </t>
  </si>
  <si>
    <t>C17H9N11O16</t>
  </si>
  <si>
    <t>3-Amino-5-nitro-1,2,4-triazole</t>
  </si>
  <si>
    <t>C1(=NNC(=N1)[N+](=O)[O-])N</t>
  </si>
  <si>
    <t>5,7-Diamino-4,6-dinitrobenzofuroxan</t>
  </si>
  <si>
    <t>C1(=C(C2=NO[N+](=C2C(=C1[N+](=O)[O-])N)[O-])[N+](=O)[O-])N</t>
  </si>
  <si>
    <t>Diaminoazoxyfurazan</t>
  </si>
  <si>
    <t>C1(=NON=C1N=[N+](C2=NON=C2N)[O-])N</t>
  </si>
  <si>
    <t>2,4,6-Trinitropyridine</t>
  </si>
  <si>
    <t>C1=C(C=C(N=C1[N+](=O)[O-])[N+](=O)[O-])[N+](=O)[O-]</t>
  </si>
  <si>
    <t>4,6-Bis-(5-amino-3-nitro-1,2,4-triazol-1-yl)-5-nitropyrimidine</t>
  </si>
  <si>
    <t xml:space="preserve">C1=NC(=C(C(=N1)N2C(=NC(=N2)[N+](=O)[O-])N)[N+](=O)[O-])N3C(=NC(=N3)[N+](=O)[O-])N </t>
  </si>
  <si>
    <t>C8H5N13O6</t>
  </si>
  <si>
    <t>Diazodinitrophenol</t>
  </si>
  <si>
    <t>C6H2N4O5</t>
  </si>
  <si>
    <t>C1=C(C=C(C(=C1[N+]#N)[O-])[N+](=O)[O-])[N+](=O)[O-]</t>
  </si>
  <si>
    <t>C12H4N6O13</t>
  </si>
  <si>
    <t>2,4,6,2′,4′,6′-Hexanitrodiphenyl Oxide</t>
  </si>
  <si>
    <t>HNBPO</t>
  </si>
  <si>
    <t>C1=C(C=C(C(=C1[N+](=O)[O-])OC2=C(C=C(C=C2[N+](=O)[O-])[N+](=O)[O-])[N+](=O)[O-])[N+](=O)[O-])[N+](=O)[O-]</t>
  </si>
  <si>
    <t>C8H7N3O6</t>
  </si>
  <si>
    <t>TNX</t>
  </si>
  <si>
    <t>TNB</t>
  </si>
  <si>
    <t>C6H3N3O6</t>
  </si>
  <si>
    <t>1,3,5-Trinitrobenzene</t>
  </si>
  <si>
    <t xml:space="preserve">C1=C(C=C(C=C1[N+](=O)[O-])[N+](=O)[O-])[N+](=O)[O-] </t>
  </si>
  <si>
    <t>TNC</t>
  </si>
  <si>
    <t xml:space="preserve">CC1=C(C(=C(C=C1[N+](=O)[O-])[N+](=O)[O-])O)[N+](=O)[O-] </t>
  </si>
  <si>
    <t>2,4,6-Trinitro-M-Cresol</t>
  </si>
  <si>
    <t xml:space="preserve">CC1=C(C(=C(C=C1[N+](=O)[O-])[N+](=O)[O-])C)[N+](=O)[O-] </t>
  </si>
  <si>
    <t>2,4,6-Trinitro-m-xylene</t>
  </si>
  <si>
    <t>4,6-Dinitrobenzofuroxan</t>
  </si>
  <si>
    <t>C6H2N4O6</t>
  </si>
  <si>
    <t>DBF</t>
  </si>
  <si>
    <t xml:space="preserve">C1=C(C=C(C2=NO[N+](=C21)[O-])[N+](=O)[O-])[N+](=O)[O-] </t>
  </si>
  <si>
    <t>1,2,3,5-Tetranitrobenzene</t>
  </si>
  <si>
    <t>C6H2N4O8</t>
  </si>
  <si>
    <t>C1=C(C=C(C(=C1[N+](=O)[O-])[N+](=O)[O-])[N+](=O)[O-])[N+](=O)[O-]</t>
  </si>
  <si>
    <t>TENB</t>
  </si>
  <si>
    <t>Pentanitrobenzene</t>
  </si>
  <si>
    <t>PNB</t>
  </si>
  <si>
    <t>C6HN5O10</t>
  </si>
  <si>
    <t>C1=C(C(=C(C(=C1[N+](=O)[O-])[N+](=O)[O-])[N+](=O)[O-])[N+](=O)[O-])[N+](=O)[O-]</t>
  </si>
  <si>
    <t>C21H9N15O18</t>
  </si>
  <si>
    <t>TPM</t>
  </si>
  <si>
    <t>Tripicrylmelamine</t>
  </si>
  <si>
    <t>C1=C(C=C(C(=C1[N+](=O)[O-])NC2=NC(=NC(=N2)NC3=C(C=C(C=C3[N+](=O)[O-])[N+](=O)[O-])[N+](=O)[O-])NC4=C(C=C(C=C4[N+](=O)[O-])[N+](=O)[O-])[N+](=O)[O-])[N+](=O)[O-])[N+](=O)[O-]</t>
  </si>
  <si>
    <t>C4H4N8O9</t>
  </si>
  <si>
    <t>2,4,6,8-Tetranitro-2,4,6,8– tetraazabicyclo [3,3,0]-Octanone-3</t>
  </si>
  <si>
    <t xml:space="preserve">C1N(C2C(N1[N+](=O)[O-])N(C(=O)N2[N+](=O)[O-])[N+](=O)[O-])[N+](=O)[O-] </t>
  </si>
  <si>
    <t>1,3-Dinitro-1,3-diazacyclopentane</t>
  </si>
  <si>
    <t>C3H6N4O4</t>
  </si>
  <si>
    <t>DNACP</t>
  </si>
  <si>
    <t xml:space="preserve">C1CN(CN1[N+](=O)[O-])[N+](=O)[O-] </t>
  </si>
  <si>
    <t>C2H2N8O4</t>
  </si>
  <si>
    <t>DNATA</t>
  </si>
  <si>
    <t>3,6-Dinitroamino-1,2,4,5-tetrazine</t>
  </si>
  <si>
    <t>C1(=NN=C(N=N1)N[N+](=O)[O-])N[N+](=O)[O-]</t>
  </si>
  <si>
    <t>C6H8N8O12</t>
  </si>
  <si>
    <t>1,3,3,5,7,7-Hexanitrooctahydro-1,5-diazocine</t>
  </si>
  <si>
    <t>1,3,5,5-Tetranitro-1,3-diazacyclohexane</t>
  </si>
  <si>
    <t>C1C(CN(CN1[N+](=O)[O-])[N+](=O)[O-])([N+](=O)[O-])[N+](=O)[O-]</t>
  </si>
  <si>
    <t xml:space="preserve">C4H6N6O8 </t>
  </si>
  <si>
    <t>C3H4N8O8</t>
  </si>
  <si>
    <t>NIRDX</t>
  </si>
  <si>
    <t>C3H4N6O7</t>
  </si>
  <si>
    <t>NIORDX</t>
  </si>
  <si>
    <t>C3H5N5O8</t>
  </si>
  <si>
    <t>NTNEMA</t>
  </si>
  <si>
    <t>N-methyl-N-trinitroethylnitramine</t>
  </si>
  <si>
    <t>N,N-bis(trinitroethyl)ethylenedinitramine</t>
  </si>
  <si>
    <t>C(CN(CC([N+](=O)[O-])([N+](=O)[O-])[N+](=O)[O-])[N+](=O)[O-])N(CC([N+](=O)[O-])([N+](=O)[O-])[N+](=O)[O-])[N+](=O)[O-]</t>
  </si>
  <si>
    <t>TNEAE</t>
  </si>
  <si>
    <t>TNEAT</t>
  </si>
  <si>
    <t>3,6-Bis[(2,2,2-trinitroethyl)amino]-1,2,4,5-tetrazine</t>
  </si>
  <si>
    <t>C(C([N+](=O)[O-])([N+](=O)[O-])[N+](=O)[O-])NC1=NN=C(N=N1)NCC([N+](=O)[O-])([N+](=O)[O-])[N+](=O)[O-]</t>
  </si>
  <si>
    <t>C4H6N6O11</t>
  </si>
  <si>
    <t>N-(2,2,2-Trinitroethyl)Nitraminoethyl Nitrate</t>
  </si>
  <si>
    <t>4-(N-nitro-N-(2,2,2-trinitroethyl))amino-1,2,4-triazol</t>
  </si>
  <si>
    <t>C4H4N8O8</t>
  </si>
  <si>
    <t>NTNATE</t>
  </si>
  <si>
    <t>2,4-Dinitrophenoxyethylnitrate</t>
  </si>
  <si>
    <t>2,4,6-Trinitrophenoxyethylnitrate</t>
  </si>
  <si>
    <t>C8H6N4O10</t>
  </si>
  <si>
    <t xml:space="preserve">C1=C(C=C(C(=C1[N+](=O)[O-])OCCO[N+](=O)[O-])[N+](=O)[O-])[N+](=O)[O-] </t>
  </si>
  <si>
    <t>TNPON</t>
  </si>
  <si>
    <t>C6H11N3O9</t>
  </si>
  <si>
    <t>Ethriol Trinitrate</t>
  </si>
  <si>
    <t>ETTN</t>
  </si>
  <si>
    <t xml:space="preserve">CCC(CO[N+](=O)[O-])(CO[N+](=O)[O-])CO[N+](=O)[O-]  </t>
  </si>
  <si>
    <t>Isosorbitol Dinitrate</t>
  </si>
  <si>
    <t>C6H8N2O8</t>
  </si>
  <si>
    <t>ISBDN</t>
  </si>
  <si>
    <t>DATN</t>
  </si>
  <si>
    <t>1,9-Diazido-2,4,6,8-tetranitro-2,4,6,8-tetrazanonane</t>
  </si>
  <si>
    <t>DATH</t>
  </si>
  <si>
    <t xml:space="preserve">C1[C@H]([C@@H]2[C@H](O1)[C@H](CO2)O[N+](=O)[O-])O[N+](=O)[O-] </t>
  </si>
  <si>
    <t>C5H10N14O8</t>
  </si>
  <si>
    <t>C(N=[N+]=[N-])N(CN(CN(CN(CN=[N+]=[N-])[N+](=O)[O-])[N+](=O)[O-])[N+](=O)[O-])[N+](=O)[O-]</t>
  </si>
  <si>
    <t>C4H8N12O6</t>
  </si>
  <si>
    <t>C(N=[N+]=[N-])N(CN(CN(CN=[N+]=[N-])[N+](=O)[O-])[N+](=O)[O-])[N+](=O)[O-]</t>
  </si>
  <si>
    <t xml:space="preserve"> 1,7-Diazido-2,4,6-trinitro-2,4,6-triazaheptane</t>
  </si>
  <si>
    <t>1,1-Diamino-2,2-Dinitroethylene</t>
  </si>
  <si>
    <t>C(=C([N+](=O)[O-])[N+](=O)[O-])(N)N</t>
  </si>
  <si>
    <t xml:space="preserve">C2H4N4O4 </t>
  </si>
  <si>
    <t>2,4-Dinitroimidazole</t>
  </si>
  <si>
    <t xml:space="preserve">C1=C(NC(=N1)[N+](=O)[O-])[N+](=O)[O-] </t>
  </si>
  <si>
    <t xml:space="preserve">C3H2N4O4 </t>
  </si>
  <si>
    <t>C4H4N6O5</t>
  </si>
  <si>
    <t>2,6-Diamino-3,5-dinitropyrazine-1-oxide</t>
  </si>
  <si>
    <t>C1(=C(N=C(C(=N)N1O)[N+](=O)[O-])[N+](=O)[O-])N</t>
  </si>
  <si>
    <t>BTATz</t>
  </si>
  <si>
    <t>C15H24N8O26</t>
  </si>
  <si>
    <t>Pentaerythrit-3-ol octanitrate</t>
  </si>
  <si>
    <t>C(C(COCC(CO[N+](=O)[O-])(CO[N+](=O)[O-])CO[N+](=O)[O-])(CO[N+](=O)[O-])CO[N+](=O)[O-])OCC(CO[N+](=O)[O-])(CO[N+](=O)[O-])CO[N+](=O)[O-]</t>
  </si>
  <si>
    <t>C10H15N5O15</t>
  </si>
  <si>
    <t>C9H13N5O15</t>
  </si>
  <si>
    <t>Fivolite</t>
  </si>
  <si>
    <t>Petrin</t>
  </si>
  <si>
    <t>C5H9N3O10</t>
  </si>
  <si>
    <t xml:space="preserve">C(C(CO[N+](=O)[O-])(CO[N+](=O)[O-])CO[N+](=O)[O-])O </t>
  </si>
  <si>
    <t xml:space="preserve"> Pentaerythritol Trinitrate</t>
  </si>
  <si>
    <t>C10H12N4O12</t>
  </si>
  <si>
    <t>DNPF</t>
  </si>
  <si>
    <t>Dinitropropylfumarate</t>
  </si>
  <si>
    <t>CC(COC(=O)/C=C\C(=O)OCC(C)([N+](=O)[O-])[N+](=O)[O-])([N+](=O)[O-])[N+](=O)[O-]</t>
  </si>
  <si>
    <t>C1N(C2C(N1[N+](=O)[O-])N(CN2[N+](=O)[O-])[N+](=O)[O-])[N+](=O)[O-]</t>
  </si>
  <si>
    <t xml:space="preserve">C4H6N8O8 </t>
  </si>
  <si>
    <t>1,3,4,6-Tetranitro-2,3a,5,6a-tetrahydroimidazo[4,5-d]imidazole</t>
  </si>
  <si>
    <t>C1=NNC(=C1[N+](=O)[O-])[N+](=O)[O-]</t>
  </si>
  <si>
    <t>C5H6N6O14</t>
  </si>
  <si>
    <t>3,6-Dihydrazino-s-tetrazine</t>
  </si>
  <si>
    <t>C2H6N8</t>
  </si>
  <si>
    <t>C4H4N14</t>
  </si>
  <si>
    <t>3,6-Bis(1H-1,2,3,4-tetrazol-5-yl-amino)-1,2,4,5-tetrazine</t>
  </si>
  <si>
    <t xml:space="preserve">C1(=NN=C(N=N1)NN)NN  </t>
  </si>
  <si>
    <t xml:space="preserve">C1(=NNN=N1)NC2=NN=C(N=N2)NC3=NNN=N3 </t>
  </si>
  <si>
    <t>DAAT</t>
  </si>
  <si>
    <t>3,3'-Azobis-(6-amino-1,2,4,5-tetrazine)</t>
  </si>
  <si>
    <t>APX</t>
  </si>
  <si>
    <t>1,7-Diamino-1,7-dinitrimino-2,4,6-trinitro-2,4,6-triazaheptane</t>
  </si>
  <si>
    <t>C4H8N12O10</t>
  </si>
  <si>
    <t>NG-N1</t>
  </si>
  <si>
    <t>C3H6N4O8</t>
  </si>
  <si>
    <t>1-Nitramino-2,3-dinitroxypropane</t>
  </si>
  <si>
    <t>Diaminouronium 5-nitriminotetrazolate</t>
  </si>
  <si>
    <t>C2H8N10O3</t>
  </si>
  <si>
    <t>DAU5NIT</t>
  </si>
  <si>
    <t>CN1C(=NC(=N1)[N+](=O)[O-])[N+](=O)[O-]</t>
  </si>
  <si>
    <t>Diperchlorate salt of DGT</t>
  </si>
  <si>
    <t>Dinitrate salt of 3,6-diguanidino-s-tetrazine</t>
  </si>
  <si>
    <t>C4H4N8O2</t>
  </si>
  <si>
    <t xml:space="preserve">C1(=NON=C1N=NC2=NON=C2N)N </t>
  </si>
  <si>
    <t>4,4'-Diamino-3,3'-Azofurazan</t>
  </si>
  <si>
    <t>C4H4N12</t>
  </si>
  <si>
    <t>C1(=NN=C(N=N1)/N=N/C2=NN=C(N=N2)N)N</t>
  </si>
  <si>
    <t>C1=C(C=C(C2=C1N3C4=C(C(=CC(=N4)[N+](=O)[O-])[N+](=O)[O-])N=[N+]3[N-]2)[N+](=O)[O-])[N+](=O)[O-]</t>
  </si>
  <si>
    <t xml:space="preserve">C1(=N[N+](=C(N=[N+]1[O-])N)[O-])N </t>
  </si>
  <si>
    <t xml:space="preserve">C2H4N6O2 </t>
  </si>
  <si>
    <t>NQ2Tz</t>
  </si>
  <si>
    <t>TAG2NQ2Tz</t>
  </si>
  <si>
    <t>3,6-Bis(nitroguanidine)-1,2,4,5-tetrazine</t>
  </si>
  <si>
    <t>Triaminoguanidinium 3,6-Bis(nitroguanidine)-1,2,4,5-tetrazine</t>
  </si>
  <si>
    <t>C4H6N12O4</t>
  </si>
  <si>
    <t xml:space="preserve">C1(=NN=C(N=N1)N=C(N)N[N+](=O)[O-])N=C(N)N[N+](=O)[O-] </t>
  </si>
  <si>
    <t>C6H22N24O4</t>
  </si>
  <si>
    <t>DGTP</t>
  </si>
  <si>
    <t>DGTN</t>
  </si>
  <si>
    <t>C4H10N10Cl2O8</t>
  </si>
  <si>
    <t>C4H10N12O6</t>
  </si>
  <si>
    <t xml:space="preserve">3,4-bis(3-aminofurazan-4-yl)furoxan </t>
  </si>
  <si>
    <t>BAFF</t>
  </si>
  <si>
    <t>C6H4N8O4</t>
  </si>
  <si>
    <t>C1(=NO[N+](=C1C2=NON=C2N)[O-])C3=NON=C3N</t>
  </si>
  <si>
    <t>C6N8O11F2</t>
  </si>
  <si>
    <t>HDNAT</t>
  </si>
  <si>
    <t>Hydrazinium 3, 5-dinitroamino-1, 2, 4-triazole</t>
  </si>
  <si>
    <t>BOM</t>
  </si>
  <si>
    <t>Bis(1,2,4-oxadiazole)bis(methylene) dinitrate</t>
  </si>
  <si>
    <t>C6H4N6O8</t>
  </si>
  <si>
    <t>C(C1=NC(=NO1)C2=NOC(=N2)CO[N+](=O)[O-])O[N+](=O)[O-]</t>
  </si>
  <si>
    <t>4-Amino-3-azidocarboxyl-furoxan</t>
  </si>
  <si>
    <t>4,4′-Diamino-3,3′-azofuroxan</t>
  </si>
  <si>
    <t>C1(=[N+](ON=C1N)[O-])C(=O)N=[N+]=[N-]</t>
  </si>
  <si>
    <t>ACAF</t>
  </si>
  <si>
    <t>C1(=NO[N+](=C1N=NC2=[N+](ON=C2N)[O-])[O-])N</t>
  </si>
  <si>
    <t>DAAzFO</t>
  </si>
  <si>
    <t>CH5N5O2</t>
  </si>
  <si>
    <t xml:space="preserve">C(=N\[N+](=O)[O-])(\N)/NN </t>
  </si>
  <si>
    <t>CH3N5O4</t>
  </si>
  <si>
    <t>1,2-Dinitroguanidine</t>
  </si>
  <si>
    <t xml:space="preserve">C(=N[N+](=O)[O-])(N)N[N+](=O)[O-] </t>
  </si>
  <si>
    <t>CH6N4O3</t>
  </si>
  <si>
    <t>GN</t>
  </si>
  <si>
    <t>Guanidine Nitrate</t>
  </si>
  <si>
    <t>C(=N)(N)N.[N+](=O)(O)[O-]</t>
  </si>
  <si>
    <t>NU</t>
  </si>
  <si>
    <t>Nitrourea</t>
  </si>
  <si>
    <t>MEDINA</t>
  </si>
  <si>
    <t>CH4N4O4</t>
  </si>
  <si>
    <t xml:space="preserve">C(N[N+](=O)[O-])N[N+](=O)[O-] </t>
  </si>
  <si>
    <t>Methylenedinitramine</t>
  </si>
  <si>
    <t>CH3N3O3</t>
  </si>
  <si>
    <t xml:space="preserve">C(=O)(N)N[N+](=O)[O-] </t>
  </si>
  <si>
    <t xml:space="preserve"> 7-Amino-4,6-dinitrobenzofuroxan</t>
  </si>
  <si>
    <t>C6H3N5O6</t>
  </si>
  <si>
    <t xml:space="preserve">C1=C(C2=NO[N+](=C2C(=C1[N+](=O)[O-])N)[O-])[N+](=O)[O-] </t>
  </si>
  <si>
    <t>HN</t>
  </si>
  <si>
    <t>NN.[N+](=O)(O)[O-]</t>
  </si>
  <si>
    <t>C3H8N4O4</t>
  </si>
  <si>
    <t>2,4-Dinitro-2,4-diazapentane</t>
  </si>
  <si>
    <t>CN(CN(C)[N+](=O)[O-])[N+](=O)[O-]</t>
  </si>
  <si>
    <t>DNDAP</t>
  </si>
  <si>
    <t>C7H6N2O5</t>
  </si>
  <si>
    <t>DNAN</t>
  </si>
  <si>
    <t>2,4-Dinitroanisole</t>
  </si>
  <si>
    <t>COC1=C(C=C(C=C1)[N+](=O)[O-])[N+](=O)[O-]</t>
  </si>
  <si>
    <t>TEFO</t>
  </si>
  <si>
    <t>Bis(2,2,2-trinitroethyl)formal</t>
  </si>
  <si>
    <t>C(C([N+](=O)[O-])([N+](=O)[O-])[N+](=O)[O-])OCOCC([N+](=O)[O-])([N+](=O)[O-])[N+](=O)[O-]</t>
  </si>
  <si>
    <t>C3H3N3O4</t>
  </si>
  <si>
    <t>MNF</t>
  </si>
  <si>
    <t>CC1=[N+](ON=C1[N+](=O)[O-])[O-]</t>
  </si>
  <si>
    <t>3-Methyl-4-nitrofuroxan</t>
  </si>
  <si>
    <t>1,1-Dinitroethane</t>
  </si>
  <si>
    <t>C2H4N2O4</t>
  </si>
  <si>
    <t>DNE</t>
  </si>
  <si>
    <t>CC([N+](=O)[O-])[N+](=O)[O-]</t>
  </si>
  <si>
    <t>1,4-Butyndiol dinitrate</t>
  </si>
  <si>
    <t>C4H4N2O6</t>
  </si>
  <si>
    <t>BuDN</t>
  </si>
  <si>
    <t>C(CO[N+](=O)[O-])C#CO[N+](=O)[O-]</t>
  </si>
  <si>
    <t>ByDN</t>
  </si>
  <si>
    <t>1,4-Butanediol dinitrate</t>
  </si>
  <si>
    <t>C(CCO[N+](=O)[O-])CO[N+](=O)[O-]</t>
  </si>
  <si>
    <t xml:space="preserve">C4H8N2O6 </t>
  </si>
  <si>
    <t>CH9N7O3</t>
  </si>
  <si>
    <t>C(=NN)(NN)NN.[N+](=O)(O)[O-]</t>
  </si>
  <si>
    <t>2,4,6-trinitro-2,4,6-triaza-cyclohexanone</t>
  </si>
  <si>
    <t>C1N(CN(C(=O)N1[N+](=O)[O-])[N+](=O)[O-])[N+](=O)[O-]</t>
  </si>
  <si>
    <t>CH5N3O4</t>
  </si>
  <si>
    <t>Urea Nitrate</t>
  </si>
  <si>
    <t>UN</t>
  </si>
  <si>
    <t>TENA</t>
  </si>
  <si>
    <t>C6H3N5O8</t>
  </si>
  <si>
    <t>ETN</t>
  </si>
  <si>
    <t>C4H7N5O8</t>
  </si>
  <si>
    <t>CCN(CC([N+](=O)[O-])([N+](=O)[O-])[N+](=O)[O-])[N+](=O)[O-]</t>
  </si>
  <si>
    <t>N-Ethyl-N-trinitroethylnitramine</t>
  </si>
  <si>
    <t>ETNEN</t>
  </si>
  <si>
    <t>DNAT</t>
  </si>
  <si>
    <t>C4H2N10O4</t>
  </si>
  <si>
    <t xml:space="preserve">C4H6N4O12 </t>
  </si>
  <si>
    <t xml:space="preserve"> C([C@H]([C@H](CO[N+](=O)[O-])O[N+](=O)[O-])O[N+](=O)[O-])O[N+](=O)[O-]</t>
  </si>
  <si>
    <t>Erythritol Tetranitrate</t>
  </si>
  <si>
    <t>TAGDNAT</t>
  </si>
  <si>
    <t>C6H18N22O4</t>
  </si>
  <si>
    <t xml:space="preserve">Bis-Triaminoguanidinium 3,3’-Dinitro-5,5’-Azo-1,2,4-Triazolate </t>
  </si>
  <si>
    <t>5,5'-Dinitro-3,3'-azo-1H-1,2,4-triazole</t>
  </si>
  <si>
    <t>C1(=NC(=NN1)N=NC2=NNC(=N2)[N+](=O)[O-])[N+](=O)[O-]</t>
  </si>
  <si>
    <t>ADAAF</t>
  </si>
  <si>
    <t>Bis(4-aminofurazanyl-3-azoxy)azofurazan</t>
  </si>
  <si>
    <t>C8H4N16O6</t>
  </si>
  <si>
    <t>C2H7N7O5</t>
  </si>
  <si>
    <t>C5H8N6O9</t>
  </si>
  <si>
    <t>NMHP</t>
  </si>
  <si>
    <t>5-Nitroxymethyl-1,3,5-trinitro-hexahydropyrimidine</t>
  </si>
  <si>
    <t>1,3,5-Trinitro-hexahydropyrimidine</t>
  </si>
  <si>
    <t>TNHP</t>
  </si>
  <si>
    <t>C4H7N5O6</t>
  </si>
  <si>
    <t xml:space="preserve">C1C(CN(CN1[N+](=O)[O-])[N+](=O)[O-])[N+](=O)[O-] </t>
  </si>
  <si>
    <t>5-Azidomethyl-1,3,5-trinitrohexahydropyrimidine</t>
  </si>
  <si>
    <t>O=[N+](N1CC(CN=[N+]=[N-])([N+]([O-])=O)CN([N+]([O-])=O)C1)[O-]</t>
  </si>
  <si>
    <t>BMNP</t>
  </si>
  <si>
    <t>C7H7N7O8</t>
  </si>
  <si>
    <t>C14H8N10O16</t>
  </si>
  <si>
    <t>Ditetryl</t>
  </si>
  <si>
    <t xml:space="preserve">C1=C(C=C(C(=C1[N+](=O)[O-])N(CCN(C2=C(C=C(C=C2[N+](=O)[O-])[N+](=O)[O-])[N+](=O)[O-])[N+](=O)[O-])[N+](=O)[O-])[N+](=O)[O-])[N+](=O)[O-] </t>
  </si>
  <si>
    <t>N,N'-Dinitro-N,N'-Dipicryl-Ethylenediamine</t>
  </si>
  <si>
    <t>Trans-1,4,5,8-tetranitro-1,4,5,8-tetraazadecalin</t>
  </si>
  <si>
    <t>C1=NNC(=N1)N[N+](=O)[O-]</t>
  </si>
  <si>
    <t>C4H8N10O4</t>
  </si>
  <si>
    <t>2-Methylnitramino-3,5-dinitropyridine</t>
  </si>
  <si>
    <t>CN(C1=NC(=NC(=N1)N(C)[N+](=O)[O-])N(C)[N+](=O)[O-])[N+](=O)[O-]</t>
  </si>
  <si>
    <t>2,4,6-Tris(Methylnitroamino)-1,3,5-Triazine</t>
  </si>
  <si>
    <t xml:space="preserve">C6H9N9O6 </t>
  </si>
  <si>
    <t>1,6-Diazido-2,5-dinitroazahexane</t>
  </si>
  <si>
    <t>[N-]=[N+]=NCN([N+]([O-])=O)CCN([N+]([O-])=O)CN=[N+]=[N-]</t>
  </si>
  <si>
    <t>3-(4-Nitro-1,2,3-triazol-2-yl)-1-nitro-1,2,4-triazole</t>
  </si>
  <si>
    <t>NTNT</t>
  </si>
  <si>
    <t>C4H2N8O4</t>
  </si>
  <si>
    <t>C5H4N4O5</t>
  </si>
  <si>
    <t>C5H5N5O4</t>
  </si>
  <si>
    <t>C1=C(C(=NC(=C1[N+](=O)[O-])N)N)[N+](=O)[O-]</t>
  </si>
  <si>
    <t>C1N2COOCN(COO1)COOC2</t>
  </si>
  <si>
    <t xml:space="preserve">C6H10N8O8 </t>
  </si>
  <si>
    <t>C1CN(C2C(N1[N+](=O)[O-])N(CCN2[N+](=O)[O-])[N+](=O)[O-])[N+](=O)[O-]</t>
  </si>
  <si>
    <t>ANM</t>
  </si>
  <si>
    <t>Ammonium nitrourea</t>
  </si>
  <si>
    <t>CH8N6O5</t>
  </si>
  <si>
    <t>DADNU</t>
  </si>
  <si>
    <t>Diammonium salt of dinitrourea</t>
  </si>
  <si>
    <t>Guanylurea dinitramide</t>
  </si>
  <si>
    <t>C(=NC(=O)N)(N)N.N([N+](=O)[O-])[N+](=O)[O-]</t>
  </si>
  <si>
    <t>C6H6N4O8</t>
  </si>
  <si>
    <t>C12C3N(C4C(N1[N+](=O)[O-])OC(O4)C(O2)O3)[N+](=O)[O-]</t>
  </si>
  <si>
    <t>4,10-Dinitro-2,6,8,12-tetraoxa-4,10-diazatetracyclo[5.5.0.05,9.03,11]-dodecane</t>
  </si>
  <si>
    <t>Sixonite</t>
  </si>
  <si>
    <t>C10H14N4O13</t>
  </si>
  <si>
    <t>2-Nitryloxy-1,1,3,3-tetrakis-nitryloxymethyl-cyclohexane</t>
  </si>
  <si>
    <t>Sixolite</t>
  </si>
  <si>
    <t>2,2,6,6-Tetrakis-nitryloxymethyl-cyclohexanone</t>
  </si>
  <si>
    <t>C14H6N8O14</t>
  </si>
  <si>
    <t>2,4,6,2',4',6'-Hexanitrooxanilide</t>
  </si>
  <si>
    <t>HNO</t>
  </si>
  <si>
    <t>C1=C(C=C(C(=C1[N+](=O)[O-])NC(=O)C(=O)NC2=C(C=C(C=C2[N+](=O)[O-])[N+](=O)[O-])[N+](=O)[O-])[N+](=O)[O-])[N+](=O)[O-]</t>
  </si>
  <si>
    <t>C(=O)(N)N.[N+](=O)(O)[O-]</t>
  </si>
  <si>
    <t>CH6N2O3</t>
  </si>
  <si>
    <t>Methylamine nitrate</t>
  </si>
  <si>
    <t xml:space="preserve">CN.[N+](=O)(O)[O-] </t>
  </si>
  <si>
    <t>MAN</t>
  </si>
  <si>
    <t>Glyoxal bis(nitrosemicarbazone)</t>
  </si>
  <si>
    <t>C4H6N8O6</t>
  </si>
  <si>
    <t>Glyoxal bis(nitrosemicarbazone) diammonium salt</t>
  </si>
  <si>
    <t>C4H12N10O6</t>
  </si>
  <si>
    <t>Glyoxal bis(nitrosemicarbazone) hydrazinium salt</t>
  </si>
  <si>
    <t>C4H10N10O6</t>
  </si>
  <si>
    <t>GBNS</t>
  </si>
  <si>
    <t>C(=NN(C(=O)N)[N+](=O)[O-])C=NN(C(=O)N)[N+](=O)[O-]</t>
  </si>
  <si>
    <t>AGBNS</t>
  </si>
  <si>
    <t>HGBNS</t>
  </si>
  <si>
    <t xml:space="preserve"> 1-Methyl-3-nitro-1,2,4-triazole</t>
  </si>
  <si>
    <t>MNT</t>
  </si>
  <si>
    <t>C3H4N4O2</t>
  </si>
  <si>
    <t>CN1C=NC(=N1)[N+](=O)[O-]</t>
  </si>
  <si>
    <t>Avrora</t>
  </si>
  <si>
    <t>4,8,10,12-tetranitro-2,6-dioxa-4,8,10,12-tetraazatetracyclo(5,5,0,03,11, 05,9)dodecane</t>
  </si>
  <si>
    <t>23-F</t>
  </si>
  <si>
    <t>4,6,10,12-tetranitro-2,8-dioxa-4,6,10,12-tetraazatetracyclo[5.5.0.03,11.05,9]-dodecane</t>
  </si>
  <si>
    <t>C4H4N6O10F2</t>
  </si>
  <si>
    <t>C2N4O5</t>
  </si>
  <si>
    <t>H4N4O4</t>
  </si>
  <si>
    <t>H4N2O3</t>
  </si>
  <si>
    <t>CN.OCl(=O)(=O)=O</t>
  </si>
  <si>
    <t>C(=N)(N)N.OCl(=O)(=O)=O</t>
  </si>
  <si>
    <t>1,2-Bis(difluoroamino)propane</t>
  </si>
  <si>
    <t>CC(CN(F)F)N(F)F</t>
  </si>
  <si>
    <t>BDFAP</t>
  </si>
  <si>
    <t>C3H6N2F4</t>
  </si>
  <si>
    <t>C(C=CCN(F)F)N(F)F</t>
  </si>
  <si>
    <t>DFAB</t>
  </si>
  <si>
    <t>C5H8N2F4</t>
  </si>
  <si>
    <t>1,4-Bis-(difluoramino)-2-penten</t>
  </si>
  <si>
    <t>BDFP</t>
  </si>
  <si>
    <t>C5H8N4F8</t>
  </si>
  <si>
    <t>1,2,3,4-Tetrakis-(difluoramino)-pentan</t>
  </si>
  <si>
    <t>TDFP</t>
  </si>
  <si>
    <t>CC(C(C(CN(F)F)N(F)F)N(F)F)N(F)F</t>
  </si>
  <si>
    <t>TFTNB</t>
  </si>
  <si>
    <t>1,3,5-Trifluoro-2,4,6-trinitrobenzene</t>
  </si>
  <si>
    <t>C6N3O6F3</t>
  </si>
  <si>
    <t>C1(=C(C(=C(C(=C1F)[N+](=O)[O-])F)[N+](=O)[O-])F)[N+](=O)[O-]</t>
  </si>
  <si>
    <t>C8H4N5O8F3</t>
  </si>
  <si>
    <t>2,4,6-Trinitrophenyl-2,2,2-trifluoroethylnitramine</t>
  </si>
  <si>
    <t>TFET</t>
  </si>
  <si>
    <t>C1=C(C=C(C(=C1[N+](=O)[O-])N(CC(F)(F)F)[N+](=O)[O-])[N+](=O)[O-])[N+](=O)[O-]</t>
  </si>
  <si>
    <t>C6H7N4O6F3</t>
  </si>
  <si>
    <t>TFNA</t>
  </si>
  <si>
    <t>CC(CN(CC(F)(F)F)[N+](=O)[O-])([N+](=O)[O-])[N+](=O)[O-]</t>
  </si>
  <si>
    <t>1,1,1-Trifluoro-3,5,5-Trinitro-3-Azahexane</t>
  </si>
  <si>
    <t>PF</t>
  </si>
  <si>
    <t>1-Fluoro-2,4,6-Trinitrobenzene</t>
  </si>
  <si>
    <t xml:space="preserve">C1=C(C=C(C(=C1[N+](=O)[O-])F)[N+](=O)[O-])[N+](=O)[O-] </t>
  </si>
  <si>
    <t>C6H2N3O6F</t>
  </si>
  <si>
    <t>DFTNB</t>
  </si>
  <si>
    <t>1,3-Difluoro-2,4,6-trinitrobenzene</t>
  </si>
  <si>
    <t xml:space="preserve">C1=C(C(=C(C(=C1[N+](=O)[O-])F)[N+](=O)[O-])F)[N+](=O)[O-] </t>
  </si>
  <si>
    <t>C6HN3O6F2</t>
  </si>
  <si>
    <t>1,3,5-Trinitro-2,4,6-triazidobenzene</t>
  </si>
  <si>
    <t>C5H10N10O14</t>
  </si>
  <si>
    <t>2,4,6,8-Tetranitro-1,9-bis-nitrooxy-2,4,6,8-tetraaza-nonane</t>
  </si>
  <si>
    <t>TNTADN</t>
  </si>
  <si>
    <t xml:space="preserve">C(N(CN(CO[N+](=O)[O-])[N+](=O)[O-])[N+](=O)[O-])N(CN(CO[N+](=O)[O-])[N+](=O)[O-])[N+](=O)[O-] </t>
  </si>
  <si>
    <t>C(C([N+](=O)[O-])([N+](=O)[O-])[N+](=O)[O-])([N+](=O)[O-])([N+](=O)[O-])[N+](=O)[O-]</t>
  </si>
  <si>
    <t>DNFz</t>
  </si>
  <si>
    <t>3,4-Dinitrofurazan</t>
  </si>
  <si>
    <t xml:space="preserve">C1(=NON=C1[N+](=O)[O-])[N+](=O)[O-] </t>
  </si>
  <si>
    <t>Furazano-1,2,3,4-tetrazine 1,3-dioxide</t>
  </si>
  <si>
    <t>O=[N+](/N=C1[N-]N=NN/1)[O-].NNC(N[NH3+])=O</t>
  </si>
  <si>
    <t>C2H7N3O6</t>
  </si>
  <si>
    <t>2-Nitroxyethylammonium nitrate</t>
  </si>
  <si>
    <t>DNEA</t>
  </si>
  <si>
    <t>C(CO[N+](=O)[O-])N.[N+](=O)(O)[O-]</t>
  </si>
  <si>
    <t>C2H7N9O4</t>
  </si>
  <si>
    <t>O=[N+](NC1=NC(N[N+]([O-])=O)=N[N-]1)[O-].[NH3+]N</t>
  </si>
  <si>
    <t>C3H5NO3</t>
  </si>
  <si>
    <t>C=CCO[N+](=O)[O-]</t>
  </si>
  <si>
    <t>CH2N2O6</t>
  </si>
  <si>
    <t>C(O[N+](=O)[O-])O[N+](=O)[O-]</t>
  </si>
  <si>
    <t>MGDN</t>
  </si>
  <si>
    <t>Methylene dinitrate</t>
  </si>
  <si>
    <t>AlN</t>
  </si>
  <si>
    <t>Allyl nitrate</t>
  </si>
  <si>
    <t>Cyanurtriazide</t>
  </si>
  <si>
    <t>C1(=NC(=NC(=N1)N=[N+]=[N-])N=[N+]=[N-])N=[N+]=[N-]</t>
  </si>
  <si>
    <t>CTA</t>
  </si>
  <si>
    <t>MeP</t>
  </si>
  <si>
    <t>GuP</t>
  </si>
  <si>
    <t>C(C(CCl)O[N+](=O)[O-])O[N+](=O)[O-]</t>
  </si>
  <si>
    <t>CPDD</t>
  </si>
  <si>
    <t>O=[N+](NCC(O[N+]([O-])=O)CO[N+]([O-])=O)[O-]</t>
  </si>
  <si>
    <t>C(C(CO[N+](=O)[O-])O[N+](=O)[O-])O</t>
  </si>
  <si>
    <t>C4H8N4O4</t>
  </si>
  <si>
    <t>1,4-Dinitropiperazine</t>
  </si>
  <si>
    <t>Dazin</t>
  </si>
  <si>
    <t>C1CN(CCN1[N+](=O)[O-])[N+](=O)[O-]</t>
  </si>
  <si>
    <t>Ammonium 3,5-dinitro-1,2,4-triazolate</t>
  </si>
  <si>
    <t>ADNT</t>
  </si>
  <si>
    <t>C2H4N6O4</t>
  </si>
  <si>
    <t>C1(=NC(=NN1)[N+](=O)[O-])[N+](=O)[O-].N</t>
  </si>
  <si>
    <t>MBANF</t>
  </si>
  <si>
    <t>1,3-Bis(4-nitrofurazan-3-yl)-1,3-diazapropane</t>
  </si>
  <si>
    <t>C5H4N8O6</t>
  </si>
  <si>
    <t>HATOAF</t>
  </si>
  <si>
    <t>C3H6N8O3</t>
  </si>
  <si>
    <t>Hydroxylammonium 4-amino-furazan-3-yltetrazol-1-olate</t>
  </si>
  <si>
    <t>C(NC1=NON=C1[N+](=O)[O-])NC2=NON=C2[N+](=O)[O-]</t>
  </si>
  <si>
    <t>TNPyOX</t>
  </si>
  <si>
    <t>C5H2N4O7</t>
  </si>
  <si>
    <t>2,4,6-Trinitropyridine-1-oxide</t>
  </si>
  <si>
    <t>C1=C(C=C([N+](=C1[N+](=O)[O-])[O-])[N+](=O)[O-])[N+](=O)[O-]</t>
  </si>
  <si>
    <t>LLM-201</t>
  </si>
  <si>
    <t>ADNP</t>
  </si>
  <si>
    <t>C6H2N8O5</t>
  </si>
  <si>
    <t>ANTF</t>
  </si>
  <si>
    <t>3-(4-Aminofurazan-3-yl)-4-(4-nitrofurazan-3-yl)furazan</t>
  </si>
  <si>
    <t>C1(=NON=C1C2=NON=C2[N+](=O)[O-])C3=NON=C3N</t>
  </si>
  <si>
    <t>4-Amino-3,5-dinitro-1H-pyrazole</t>
  </si>
  <si>
    <t>C1(=C(NN=C1[N+](=O)[O-])[N+](=O)[O-])N</t>
  </si>
  <si>
    <t>C4H2N6O4</t>
  </si>
  <si>
    <t>C1(=NON=C1[N+](=O)[O-])C2=NOC(=N2)N</t>
  </si>
  <si>
    <t>3-(4-Nitrofurazan-3-yl)-1,2,4-oxadiazol-5-amine</t>
  </si>
  <si>
    <t>ImP</t>
  </si>
  <si>
    <t>C(CO[N+](=O)[O-])N(CC([N+](=O)[O-])([N+](=O)[O-])[N+](=O)[O-])[N+](=O)[O-]</t>
  </si>
  <si>
    <t>C4H10N4O9</t>
  </si>
  <si>
    <t>DETN</t>
  </si>
  <si>
    <t>Diethyloamine trinitrate</t>
  </si>
  <si>
    <t>C(CO[N+](=O)[O-])NCCO[N+](=O)[O-].[N+](=O)(O)[O-]</t>
  </si>
  <si>
    <t>DINOL</t>
  </si>
  <si>
    <t>PiC</t>
  </si>
  <si>
    <t>C1=C(C=C(C(=C1[N+](=O)[O-])Cl)[N+](=O)[O-])[N+](=O)[O-]</t>
  </si>
  <si>
    <t>2,3,4,6-Tetranitroaniline</t>
  </si>
  <si>
    <t xml:space="preserve">C1=C(C(=C(C(=C1[N+](=O)[O-])[N+](=O)[O-])[N+](=O)[O-])N)[N+](=O)[O-] </t>
  </si>
  <si>
    <t>C6H8N6O12</t>
  </si>
  <si>
    <t>N,N'-Dinitro-N,N'-dimethyltartaramide dinitrate</t>
  </si>
  <si>
    <t>DDTD</t>
  </si>
  <si>
    <t>NENO</t>
  </si>
  <si>
    <t>C(CO[N+](=O)[O-])N(C(=O)C(=O)N(CCO[N+](=O)[O-])[N+](=O)[O-])[N+](=O)[O-]</t>
  </si>
  <si>
    <t xml:space="preserve">CN(C(=O)C(C(C(=O)N(C)[N+](=O)[O-])O[N+](=O)[O-])O[N+](=O)[O-])[N+](=O)[O-] </t>
  </si>
  <si>
    <t>O=[N+](C1=N[N-]C(/N=N/C2=NC([N+]([O-])=O)=N[N-]2)=N1)[O-].NNC(NN)=[NH+]N.NNC(NN)=[NH+]N</t>
  </si>
  <si>
    <t>3-Picrylamino-1,2,4-triazole</t>
  </si>
  <si>
    <t>C8H5N7O6</t>
  </si>
  <si>
    <t>Pentryl</t>
  </si>
  <si>
    <t>C8H6N6O11</t>
  </si>
  <si>
    <t>2,4,6-Trinitrophenylnitraminoethyl Nitrate</t>
  </si>
  <si>
    <t>C1=C(C=C(C(=C1[N+](=O)[O-])N(CCO[N+](=O)[O-])[N+](=O)[O-])[N+](=O)[O-])[N+](=O)[O-]</t>
  </si>
  <si>
    <t>C8H16N6O15</t>
  </si>
  <si>
    <t>Tetrakis-(2-nitryloxy-ethyl)-ammonium nitrate</t>
  </si>
  <si>
    <t>TNEAN</t>
  </si>
  <si>
    <t xml:space="preserve">C(CO[N+](=O)[O-])[N+](CCO[N+](=O)[O-])(CCO[N+](=O)[O-])CCO[N+](=O)[O-].[N+](=O)([O-])[O-] </t>
  </si>
  <si>
    <t>C9H6N4O10</t>
  </si>
  <si>
    <t>Trinitroethyl-m-nitrobenzoate</t>
  </si>
  <si>
    <t>TNENB</t>
  </si>
  <si>
    <t>C9H7N3O8</t>
  </si>
  <si>
    <t>Trinitroethylbenzoate</t>
  </si>
  <si>
    <t>TNEB</t>
  </si>
  <si>
    <t xml:space="preserve">C1=CC=C(C=C1)C(=O)OCC([N+](=O)[O-])([N+](=O)[O-])[N+](=O)[O-] </t>
  </si>
  <si>
    <t>C10H5N3O6</t>
  </si>
  <si>
    <t>TNN</t>
  </si>
  <si>
    <t>1,3,8-Trinitronaphthalene</t>
  </si>
  <si>
    <t>C1=CC2=CC(=CC(=C2C(=C1)[N+](=O)[O-])[N+](=O)[O-])[N+](=O)[O-]</t>
  </si>
  <si>
    <t>Bis(2,2,2-Trinitroethyl)adipate</t>
  </si>
  <si>
    <t>DPEHN</t>
  </si>
  <si>
    <t>C1=C(C=C(C(=C1[N+](=O)[O-])C2=C(C=C(C=C2[N+](=O)[O-])[N+](=O)[O-])[N+](=O)[O-])[N+](=O)[O-])[N+](=O)[O-]</t>
  </si>
  <si>
    <t>C12H6N4O9</t>
  </si>
  <si>
    <t>TNDPE</t>
  </si>
  <si>
    <t>C1=CC(=C(C=C1[N+](=O)[O-])[N+](=O)[O-])OC2=C(C=C(C=C2)[N+](=O)[O-])[N+](=O)[O-]</t>
  </si>
  <si>
    <t>Bis(2,4-dinitrophenyl) ether</t>
  </si>
  <si>
    <t>C12H8N6O16</t>
  </si>
  <si>
    <t>PABTEE</t>
  </si>
  <si>
    <t>Phthalic acid bis-(2,2,2-trinitroethyl ester)</t>
  </si>
  <si>
    <t xml:space="preserve">C1=CC=C(C(=C1)C(=O)OCC([N+](=O)[O-])([N+](=O)[O-])[N+](=O)[O-])C(=O)OCC([N+](=O)[O-])([N+](=O)[O-])[N+](=O)[O-] </t>
  </si>
  <si>
    <t xml:space="preserve">5,5’-Bis(2,4,6-trinitrophenyl)-2,2’-bi(1,3,4-oxadiazole) </t>
  </si>
  <si>
    <t>24-DNT</t>
  </si>
  <si>
    <t>C7H6N2O4</t>
  </si>
  <si>
    <t>2,4-Dinitrotoluene</t>
  </si>
  <si>
    <t>CC1=C(C=C(C=C1)[N+](=O)[O-])[N+](=O)[O-]</t>
  </si>
  <si>
    <t>DNBF</t>
  </si>
  <si>
    <t>4,4'-Dinitro-3,3'-bisfuroxan</t>
  </si>
  <si>
    <t>4,4'-Dinitro-3,3'-diazenofuroxan</t>
  </si>
  <si>
    <t xml:space="preserve">C1(=NO[N+](=C1N=NC2=[N+](ON=C2[N+](=O)[O-])[O-])[O-])[N+](=O)[O-] </t>
  </si>
  <si>
    <t>BFFO</t>
  </si>
  <si>
    <t>C6N6O5</t>
  </si>
  <si>
    <t>Bifurazano[3,4-b:3′,4′-f][3′′,4′′-d]xacycloheptatriene</t>
  </si>
  <si>
    <t>C12=NO[N+](=C1C3=NON=C3OC4=NON=C24)[O-]</t>
  </si>
  <si>
    <t>Ammonium dinitramide</t>
  </si>
  <si>
    <t>[NH4+].[N-]([N+](=O)[O-])[N+](=O)[O-]</t>
  </si>
  <si>
    <t>Ammonium nitrate</t>
  </si>
  <si>
    <t>[NH4+].[N+](=O)([O-])[O-]</t>
  </si>
  <si>
    <t>FDEN</t>
  </si>
  <si>
    <t>C(C([N+](=O)[O-])([N+](=O)[O-])F)O[N+](=O)[O-]</t>
  </si>
  <si>
    <t>C6H8N8O13F2</t>
  </si>
  <si>
    <t>C6H4N4O12F2</t>
  </si>
  <si>
    <t>C3H2N4O8F2</t>
  </si>
  <si>
    <t>1,3-Difluoro-1,1,3,3-tetranitropropane</t>
  </si>
  <si>
    <t>C(C([N+](=O)[O-])([N+](=O)[O-])F)C([N+](=O)[O-])([N+](=O)[O-])F</t>
  </si>
  <si>
    <t>DFTNP</t>
  </si>
  <si>
    <t>Bis-(2-fluoro-2,2-dinitroethyl) ether</t>
  </si>
  <si>
    <t>BFDEE</t>
  </si>
  <si>
    <t>C(C([N+](=O)[O-])([N+](=O)[O-])F)OCC([N+](=O)[O-])([N+](=O)[O-])F</t>
  </si>
  <si>
    <t>1,5-Difluoro-1,1,3,5,5-pentanitro-3-azapentane</t>
  </si>
  <si>
    <t>DFPNAP</t>
  </si>
  <si>
    <t>C(C([N+](=O)[O-])([N+](=O)[O-])F)N(CC([N+](=O)[O-])([N+](=O)[O-])F)[N+](=O)[O-]</t>
  </si>
  <si>
    <t>1,4-Bis-(Difluoroamino)-2-Butene</t>
  </si>
  <si>
    <t>FOF-13</t>
  </si>
  <si>
    <t xml:space="preserve"> 3,3′-Bis(fluorodinitromethyl) difurazanyl ether (FOF-13)</t>
  </si>
  <si>
    <t>FC([N+]([O-])=O)([N+]([O-])=O)C1=NON=C1OC2=NON=C2C(F)([N+]([O-])=O)[N+]([O-])=O</t>
  </si>
  <si>
    <t>CH2N4</t>
  </si>
  <si>
    <t>5-Nitrotetrazole</t>
  </si>
  <si>
    <t>Tz</t>
  </si>
  <si>
    <t>C1=NNN=N1</t>
  </si>
  <si>
    <t>MTX-1</t>
  </si>
  <si>
    <t>Tetrazene</t>
  </si>
  <si>
    <t>1-(5-Tetrazolyl)-4-guanyltetrazene hydrate</t>
  </si>
  <si>
    <t>C2H8N10O</t>
  </si>
  <si>
    <t>C1(=NNN=N1)/N=N/N(C(=N)N)N.O</t>
  </si>
  <si>
    <t>C2H5N9</t>
  </si>
  <si>
    <t>1-[(2E)-3-(1H-Tetrazol-5-yl)triaz-2-en-1-ylidene]methanediamine</t>
  </si>
  <si>
    <t>Bis(2-fluoro-2,2-dinitroethyl) oxalate</t>
  </si>
  <si>
    <t>BFDNEO</t>
  </si>
  <si>
    <t xml:space="preserve">C(C([N+](=O)[O-])([N+](=O)[O-])F)OC(=O)C(=O)OCC([N+](=O)[O-])([N+](=O)[O-])F </t>
  </si>
  <si>
    <t>DFHNDO</t>
  </si>
  <si>
    <t>C(CN(CC([N+](=O)[O-])([N+](=O)[O-])F)[N+](=O)[O-])N(CC([N+](=O)[O-])([N+](=O)[O-])F)[N+](=O)[O-]</t>
  </si>
  <si>
    <t>C(C([N+](=O)[O-])([N+](=O)[O-])F)N(COCN(CC([N+](=O)[O-])([N+](=O)[O-])F)[N+](=O)[O-])[N+](=O)[O-]</t>
  </si>
  <si>
    <t>1,1'-Oxybis(2,4,4-Trinitro-4-Fluoro-2-Azabutane)</t>
  </si>
  <si>
    <t>OBTNFAB</t>
  </si>
  <si>
    <t>1H-Imidazole perchlorate</t>
  </si>
  <si>
    <t>C3H5N2O4Cl</t>
  </si>
  <si>
    <t>C1=C[NH+]=CN1.[O-]Cl(=O)(=O)=O</t>
  </si>
  <si>
    <t>C3H5N2O6Cl</t>
  </si>
  <si>
    <t>Code</t>
  </si>
  <si>
    <t>s</t>
  </si>
  <si>
    <t>from supplementary dataset</t>
  </si>
  <si>
    <t>l</t>
  </si>
  <si>
    <t>is liquid</t>
  </si>
  <si>
    <t>e</t>
  </si>
  <si>
    <t>sl</t>
  </si>
  <si>
    <t>[1]</t>
  </si>
  <si>
    <t>[2]</t>
  </si>
  <si>
    <t>[9]</t>
  </si>
  <si>
    <t>[3,5,6,8]</t>
  </si>
  <si>
    <t>the extrapolated value of present study</t>
  </si>
  <si>
    <t>[11]</t>
  </si>
  <si>
    <t>[13]</t>
  </si>
  <si>
    <t>[14]</t>
  </si>
  <si>
    <t>[19]</t>
  </si>
  <si>
    <t>[20]</t>
  </si>
  <si>
    <t>[23]</t>
  </si>
  <si>
    <t>[24]</t>
  </si>
  <si>
    <t>[8]</t>
  </si>
  <si>
    <t>[22]</t>
  </si>
  <si>
    <t>[27]</t>
  </si>
  <si>
    <t>[21]</t>
  </si>
  <si>
    <t>b</t>
  </si>
  <si>
    <t>detonation parameters are reported for formulation with 5-7% of binder</t>
  </si>
  <si>
    <t>sb</t>
  </si>
  <si>
    <t>[4]</t>
  </si>
  <si>
    <t>3,6-Diamino-s-tetrazine-1,4-dioxide</t>
  </si>
  <si>
    <t>Dihydroxylammonium 5,5’-bistetrazole-1,1’-diolate</t>
  </si>
  <si>
    <t>[47]</t>
  </si>
  <si>
    <t>[61]</t>
  </si>
  <si>
    <t>[65]</t>
  </si>
  <si>
    <t>[10]</t>
  </si>
  <si>
    <t>[3,6,8]</t>
  </si>
  <si>
    <t xml:space="preserve">Dihydroxylammonium 5,5’-bis(3-nitro-1,2,4-triazolate-1N-oxide) </t>
  </si>
  <si>
    <t>[97]</t>
  </si>
  <si>
    <t>[98]</t>
  </si>
  <si>
    <t>[8,10]</t>
  </si>
  <si>
    <t>[3,6]</t>
  </si>
  <si>
    <t>[3,8]</t>
  </si>
  <si>
    <t>[121]</t>
  </si>
  <si>
    <t>Mannitol hexanitrate</t>
  </si>
  <si>
    <t>N,N'-Bis(2-nitrooxyethyl)-N,N'-dinitrooxalamide</t>
  </si>
  <si>
    <t>[12]</t>
  </si>
  <si>
    <t>[6]</t>
  </si>
  <si>
    <t>sc</t>
  </si>
  <si>
    <t>c</t>
  </si>
  <si>
    <t>the enthalpy value is corrected with a reparametrized Trouton rule</t>
  </si>
  <si>
    <t>[127]</t>
  </si>
  <si>
    <t>[36]</t>
  </si>
  <si>
    <t>[1-Azido-3-(2-azidoethoxy)propan-2-yl] acetate</t>
  </si>
  <si>
    <t>2-Nitryloxy-1,1,3,3-tetrakis-nitryloxymethyl-cyclopentane</t>
  </si>
  <si>
    <t>2,4,6-Tris(2,2,2-trinitroethylamino)-1,3,5-triazine</t>
  </si>
  <si>
    <t>[3]</t>
  </si>
  <si>
    <t>2,2',4,4',6,6'-Hexanitro(1,1'-biphenyl)-3,3'-diamine</t>
  </si>
  <si>
    <t>[144]</t>
  </si>
  <si>
    <t>2,2',2'',4,4'',6,6',6'''-Octanitro-m-terphenyl</t>
  </si>
  <si>
    <t>[3,5,6]</t>
  </si>
  <si>
    <t>CC1=C(C=C(C=C1[N+](=O)[O-])[N+](=O)[O-])N=[N+](C2=C(C(=CC(=C2)[N+](=O)[O-])[N+](=O)[O-])C)[O-]</t>
  </si>
  <si>
    <t>Bis(2-methyl-3,5-dinitrophenyl)diazene N-oxide</t>
  </si>
  <si>
    <t>2AzODNT</t>
  </si>
  <si>
    <t>C14H10N6O9</t>
  </si>
  <si>
    <t>[145]</t>
  </si>
  <si>
    <t>[165]</t>
  </si>
  <si>
    <t>[2–7]</t>
  </si>
  <si>
    <t>NC([N-][N+]([O-])=O)=O.[NH4+]</t>
  </si>
  <si>
    <t>O=C([N-][N+]([O-])=O)[N-][N+]([O-])=O.[NH4+].[NH4+]</t>
  </si>
  <si>
    <t>O=[N+](OCN1N=NC([N+]([O-])=O)=N1)[O-]</t>
  </si>
  <si>
    <t>4-Nitrimino-3,5-dinitrotetrahydro-1,3,5-oxadiazine</t>
  </si>
  <si>
    <t>O=[N+](N1COCN([N+]([O-])=O)/C1=N/[N+]([O-])=O)[O-]</t>
  </si>
  <si>
    <t>O=[N+](N1CN([N+]([O-])=O)/C(N([N+]([O-])=O)C1)=N/[N+]([O-])=O)[O-]</t>
  </si>
  <si>
    <t>2-Nitroimino-1,3,5-trinitro-hexahydro-1,3,5-triazine</t>
  </si>
  <si>
    <t>CN([N+]([O-])=O)CC([N+]([O-])=O)([N+]([O-])=O)[N+]([O-])=O</t>
  </si>
  <si>
    <t>[O-]N1C(C2=NON=C2N)=NN=N1.[NH3+]O</t>
  </si>
  <si>
    <t>O=[N+](N1N=C(N2N=CC([N+]([O-])=O)=N2)N=C1)[O-]</t>
  </si>
  <si>
    <t>O=[N+](C(CN([N+]([O-])=O)N1C=NN=C1)([N+]([O-])=O)[N+]([O-])=O)[O-]</t>
  </si>
  <si>
    <t>N=C(N([N+]([O-])=O)CN([N+]([O-])=O)CN([N+]([O-])=O)C(N[N+]([O-])=O)=N)N[N+]([O-])=O</t>
  </si>
  <si>
    <t>NC(C([N+]([O-])=O)=C1)=C([N+]([O-])=O)C=N1=O</t>
  </si>
  <si>
    <t>NC1=C([N+]([O-])=O)C=C([N+]([O-])=O)C(O)=N1</t>
  </si>
  <si>
    <t>NC1=C([N+]([O-])=O)C=C([N+]([O-])=O)C(N)=N1=O</t>
  </si>
  <si>
    <t>O=[N+](N1CN([N+]([O-])=O)CC(CO[N+]([O-])=O)([N+]([O-])=O)C1)[O-]</t>
  </si>
  <si>
    <t>CN([N+]([O-])=O)C1=NC=C([N+]([O-])=O)C=C1[N+]([O-])=O</t>
  </si>
  <si>
    <t>O=C([N-][N+]([O-])=O)NN=C/C=N\NC([N-][N+]([O-])=O)=O.[NH3+]N.[NH3+]N</t>
  </si>
  <si>
    <t>O=C([N-][N+]([O-])=O)NN=C/C=N\NC([N-][N+]([O-])=O)=O.[NH4+].[NH4+]</t>
  </si>
  <si>
    <t>[O-][N+]([O-])=O.[O-][N+]([O-])=O.[NH2+]=C(N)NC1=NN=C(NC(N)=[NH2+])N=N1</t>
  </si>
  <si>
    <t>O=[N+](C1=C([N+]([O-])=O)NC(C2=NC([N+]([O-])=O)=C([N+]([O-])=O)N2)=N1)[O-].O.O</t>
  </si>
  <si>
    <t>O=[N+](N1CC([N+]([O-])=O)([N+]([O-])=O)CN([N+]([O-])=O)CC([N+]([O-])=O)([N+]([O-])=O)C1)[O-]</t>
  </si>
  <si>
    <t>NC([N-]C1=NN=C([N-]C(N)=N[N+]([O-])=O)N=N1)=N[N+]([O-])=O.NNC(NN)=[NH+]N.NNC(NN)=[NH+]N</t>
  </si>
  <si>
    <t>CN([N+]([O-])=O)C1=C([N+]([O-])=O)C=C([N+]([O-])=O)C(N([N+]([O-])=O)C)=N1</t>
  </si>
  <si>
    <t>NC1=NON=C1/[N+]([O-])=N\C2=NON=C2/N=N\C3=NON=C3/N=[N+](C4=NON=C4N)/[O-]</t>
  </si>
  <si>
    <t>O=C(OCC([N+]([O-])=O)([N+]([O-])=O)[N+]([O-])=O)C1=CC([N+]([O-])=O)=CC=C1</t>
  </si>
  <si>
    <t>O=[N+](OCC1(CO[N+]([O-])=O)CCC(CO[N+]([O-])=O)(CO[N+]([O-])=O)C1O[N+]([O-])=O)[O-]</t>
  </si>
  <si>
    <t>O=C1C(CO[N+]([O-])=O)(CO[N+]([O-])=O)CCCC1(CO[N+]([O-])=O)CO[N+]([O-])=O</t>
  </si>
  <si>
    <t>O=[N+](OCC1(CO[N+]([O-])=O)CCCC(CO[N+]([O-])=O)(CO[N+]([O-])=O)C1O[N+]([O-])=O)[O-]</t>
  </si>
  <si>
    <t>[O-][N+]1=C(C2=[N+]([O-])ON=C2[N+]([O-])=O)C([N+]([O-])=O)=NO1</t>
  </si>
  <si>
    <t>N/C(N)=N\N=NC1=NN=NN1</t>
  </si>
  <si>
    <t>CC(N(F)F)/C=C/CN(F)F</t>
  </si>
  <si>
    <t>O=[N+](N1C2N([N+]([O-])=O)C3OC2N([N+]([O-])=O)C4OC3N([N+]([O-])=O)C14)[O-]</t>
  </si>
  <si>
    <t>O=[N+](N1C2N([N+]([O-])=O)C3OC2N([N+]([O-])=O)C4N([N+]([O-])=O)C3OC14)[O-]</t>
  </si>
  <si>
    <t>[O-]Cl(=O)(=O)=O.[O-]Cl(=O)(=O)=O.[NH2+]=C(N)NC1=NN=C(NC(N)=[NH2+])N=N1</t>
  </si>
  <si>
    <t>Ammonium azide</t>
  </si>
  <si>
    <t>AA</t>
  </si>
  <si>
    <t>H4N4</t>
  </si>
  <si>
    <t>[NH4+].[N-]=[N+]=[N-]</t>
  </si>
  <si>
    <t>CCN(C1=C(C=C(C=C1[N+](=O)[O-])[N+](=O)[O-])[N+](=O)[O-])[N+](=O)[O-]</t>
  </si>
  <si>
    <t>N-Ethyl-N-(2,4,6-Trinitrophenyl)Nitramide</t>
  </si>
  <si>
    <t>Ethyltetryl</t>
  </si>
  <si>
    <t>C8H7N5O8</t>
  </si>
  <si>
    <t>C1=C(C=C(C(=C1[N+](=O)[O-])[O-])[N+](=O)[O-])[N+](=O)[O-].C(=[NH2+])(N)N</t>
  </si>
  <si>
    <t>Guanidinium picrate</t>
  </si>
  <si>
    <t>C7H8N6O7</t>
  </si>
  <si>
    <t>C(C1=C(C(=C(C(=C1CN=[N+]=[N-])CN=[N+]=[N-])CN=[N+]=[N-])CN=[N+]=[N-])CN=[N+]=[N-])N=[N+]=[N-]</t>
  </si>
  <si>
    <t>Hexakis(azidomethyl)benzene</t>
  </si>
  <si>
    <t>HAB</t>
  </si>
  <si>
    <t>C12H12N18</t>
  </si>
  <si>
    <t>C1=C(C=C(C(=C1[N+](=O)[O-])C2=NC(=NC(=N2)C3=C(C=C(C=C3[N+](=O)[O-])[N+](=O)[O-])[N+](=O)[O-])C4=C(C=C(C=C4[N+](=O)[O-])[N+](=O)[O-])[N+](=O)[O-])[N+](=O)[O-])[N+](=O)[O-]</t>
  </si>
  <si>
    <t>2,4,6-Tris(2,4,6-Trinitrophenyl)-1,3,5-Triazine</t>
  </si>
  <si>
    <t>TPT</t>
  </si>
  <si>
    <t>C21H6N12O18</t>
  </si>
  <si>
    <t>[63]</t>
  </si>
  <si>
    <t>[50]</t>
  </si>
  <si>
    <t>[16]</t>
  </si>
  <si>
    <t>[37]</t>
  </si>
  <si>
    <t>[39]</t>
  </si>
  <si>
    <t>[76]</t>
  </si>
  <si>
    <t>[69]</t>
  </si>
  <si>
    <t>[96]</t>
  </si>
  <si>
    <t>[74]</t>
  </si>
  <si>
    <t>[118]</t>
  </si>
  <si>
    <t>[174]</t>
  </si>
  <si>
    <t>TMD</t>
  </si>
  <si>
    <t>Name</t>
  </si>
  <si>
    <t>Formula</t>
  </si>
  <si>
    <t>HOF</t>
  </si>
  <si>
    <t>Density</t>
  </si>
  <si>
    <t>PCJ</t>
  </si>
  <si>
    <t>PCJ[Ref]</t>
  </si>
  <si>
    <t>HOF[Ref]</t>
  </si>
  <si>
    <t>HNF</t>
  </si>
  <si>
    <t>C(C([N+](=O)[O-])([N+](=O)[O-])[N+](=O)[O-])OCN(CN(CN(COCC([N+](=O)[O-])([N+](=O)[O-])[N+](=O)[O-])[N+](=O)[O-])[N+](=O)[O-])[N+](=O)[O-]</t>
  </si>
  <si>
    <t>N,N,N-Trinitrobis((((2,2,2-trinitroethoxy)methyl)amino)methyl)amine</t>
  </si>
  <si>
    <t>NNTDOT</t>
  </si>
  <si>
    <t>C8H12N12O20</t>
  </si>
  <si>
    <t>CH5N5O6</t>
  </si>
  <si>
    <t>N[NH3+].[O-][N+](=O)[C-]([N+]([O-])=O)[N+]([O-])=O</t>
  </si>
  <si>
    <t>Hydrazinium nitroformate</t>
  </si>
  <si>
    <t xml:space="preserve">C(C([N+](=O)[O-])([N+](=O)[O-])F)N(COCC([N+](=O)[O-])([N+](=O)[O-])F)[N+](=O)[O-] </t>
  </si>
  <si>
    <t>DFPAO</t>
  </si>
  <si>
    <t>C5H6N6O11F2</t>
  </si>
  <si>
    <t>1,7-Difluoro-1,1,5,7,7-pentanitro-5-aza-3-oxaheptane</t>
  </si>
  <si>
    <t>[48]</t>
  </si>
  <si>
    <t>[49]</t>
  </si>
  <si>
    <t>[64]</t>
  </si>
  <si>
    <t>[68]</t>
  </si>
  <si>
    <t>[75]</t>
  </si>
  <si>
    <t>[104]</t>
  </si>
  <si>
    <t>[105]</t>
  </si>
  <si>
    <t>[146]</t>
  </si>
  <si>
    <t>[38]</t>
  </si>
  <si>
    <t>[62]</t>
  </si>
  <si>
    <t>[117]</t>
  </si>
  <si>
    <t>[185]</t>
  </si>
  <si>
    <t>VOD[Ref]</t>
  </si>
  <si>
    <t>[55]</t>
  </si>
  <si>
    <t>[79]</t>
  </si>
  <si>
    <t xml:space="preserve">C(C([N+](=O)[O-])([N+](=O)[O-])[N+](=O)[O-])OC(=O)OCC([N+](=O)[O-])([N+](=O)[O-])[N+](=O)[O-] </t>
  </si>
  <si>
    <t>Bis(2,2,2-trinitroethyl) carbonate</t>
  </si>
  <si>
    <t>BTNEC</t>
  </si>
  <si>
    <t>C5H4N6O15</t>
  </si>
  <si>
    <t>C(C([N+](=O)[O-])([N+](=O)[O-])[N+](=O)[O-])OC(OCC([N+](=O)[O-])([N+](=O)[O-])[N+](=O)[O-])OCC([N+](=O)[O-])([N+](=O)[O-])[N+](=O)[O-]</t>
  </si>
  <si>
    <t>Tris(2,2,2-trinitroethyl)orthoformate</t>
  </si>
  <si>
    <t>TNEOF</t>
  </si>
  <si>
    <t>C7H7N9O21</t>
  </si>
  <si>
    <t>[44]</t>
  </si>
  <si>
    <t>[66]</t>
  </si>
  <si>
    <t>[70]</t>
  </si>
  <si>
    <t>[72]</t>
  </si>
  <si>
    <t>[74,75]</t>
  </si>
  <si>
    <t>[92]</t>
  </si>
  <si>
    <t>[99]</t>
  </si>
  <si>
    <t>[77]</t>
  </si>
  <si>
    <t>[53]</t>
  </si>
  <si>
    <t>[106]</t>
  </si>
  <si>
    <t>[110]</t>
  </si>
  <si>
    <t>[119]</t>
  </si>
  <si>
    <t>[94]</t>
  </si>
  <si>
    <t>[128]</t>
  </si>
  <si>
    <t>[40]</t>
  </si>
  <si>
    <t>[25]</t>
  </si>
  <si>
    <t>[147]</t>
  </si>
  <si>
    <t>[167]</t>
  </si>
  <si>
    <t>[42]</t>
  </si>
  <si>
    <t>[177]</t>
  </si>
  <si>
    <t>[31]</t>
  </si>
  <si>
    <t>[56]</t>
  </si>
  <si>
    <t>[80]</t>
  </si>
  <si>
    <t>[115]</t>
  </si>
  <si>
    <t>[122]</t>
  </si>
  <si>
    <t>[124]</t>
  </si>
  <si>
    <t>[28]</t>
  </si>
  <si>
    <t>[51]</t>
  </si>
  <si>
    <t>[88]</t>
  </si>
  <si>
    <t>[136]</t>
  </si>
  <si>
    <t>[154]</t>
  </si>
  <si>
    <t>[175]</t>
  </si>
  <si>
    <t>DensityP</t>
  </si>
  <si>
    <t>Qcal</t>
  </si>
  <si>
    <t>DensityQ</t>
  </si>
  <si>
    <t>Qcal[Ref]</t>
  </si>
  <si>
    <t>TNBI2H2O</t>
  </si>
  <si>
    <t>C4H8N4O8</t>
  </si>
  <si>
    <t>C5H8N8O6</t>
  </si>
  <si>
    <t>[129]</t>
  </si>
  <si>
    <t>[149]</t>
  </si>
  <si>
    <t>[155]</t>
  </si>
  <si>
    <t>[161]</t>
  </si>
  <si>
    <t>[168]</t>
  </si>
  <si>
    <t>[169]</t>
  </si>
  <si>
    <t>[176]</t>
  </si>
  <si>
    <t>[179]</t>
  </si>
  <si>
    <t>[187]</t>
  </si>
  <si>
    <t>[188]</t>
  </si>
  <si>
    <t>[191]</t>
  </si>
  <si>
    <t>[131]</t>
  </si>
  <si>
    <t>[137]</t>
  </si>
  <si>
    <t>[148]</t>
  </si>
  <si>
    <t>[156]</t>
  </si>
  <si>
    <t>[164]</t>
  </si>
  <si>
    <t>[192]</t>
  </si>
  <si>
    <t>1H-Tetrazole</t>
  </si>
  <si>
    <t>C1=C(C=C(C(=C1[N+](=O)[O-])C(F)(F)F)[N+](=O)[O-])[N+](=O)[O-]</t>
  </si>
  <si>
    <t>α,α,α-Trifluoro-2,4,6-trinitrotoluene</t>
  </si>
  <si>
    <t>TFTNT</t>
  </si>
  <si>
    <t>C7H2N3O6F3</t>
  </si>
  <si>
    <t>C(C([N+](=O)[O-])([N+](=O)[O-])F)OC(OCC([N+](=O)[O-])([N+](=O)[O-])F)(F)F</t>
  </si>
  <si>
    <t>Bis(2-fluoro-2,2-dinitroethyl) difluoroformal</t>
  </si>
  <si>
    <t>DFF</t>
  </si>
  <si>
    <t>C5H4N4O10F4</t>
  </si>
  <si>
    <t xml:space="preserve">[2,4,10–12] </t>
  </si>
  <si>
    <t>[11,14]</t>
  </si>
  <si>
    <t>[15]</t>
  </si>
  <si>
    <t>[11,17–21]</t>
  </si>
  <si>
    <t>[24,25]</t>
  </si>
  <si>
    <t>[25–27]</t>
  </si>
  <si>
    <t>[28,29]</t>
  </si>
  <si>
    <t>[30]</t>
  </si>
  <si>
    <t>[10,26,32,33]</t>
  </si>
  <si>
    <t>[24,26,35–38]</t>
  </si>
  <si>
    <t>[26]</t>
  </si>
  <si>
    <t>[43]</t>
  </si>
  <si>
    <t>[2,4,10,11,13,21,32]</t>
  </si>
  <si>
    <t>[4,35,44]</t>
  </si>
  <si>
    <t>[47,48]</t>
  </si>
  <si>
    <t>[2,4,10]</t>
  </si>
  <si>
    <t>[8,10,11,18,20,24,50,51]</t>
  </si>
  <si>
    <t>[52]</t>
  </si>
  <si>
    <t>[54]</t>
  </si>
  <si>
    <t>[35,57–59]</t>
  </si>
  <si>
    <t>[10,11,18,20,61]</t>
  </si>
  <si>
    <t>[24,32,62]</t>
  </si>
  <si>
    <t>[63–65]</t>
  </si>
  <si>
    <t>[67]</t>
  </si>
  <si>
    <t>[63,64]</t>
  </si>
  <si>
    <t>[71]</t>
  </si>
  <si>
    <t>[4,21,32,72,73]</t>
  </si>
  <si>
    <t>[3,4,11,51]</t>
  </si>
  <si>
    <t>[8,24]</t>
  </si>
  <si>
    <t>[4,76]</t>
  </si>
  <si>
    <t>[78]</t>
  </si>
  <si>
    <t>[10,11,50,79]</t>
  </si>
  <si>
    <t>[3,4,17,18]</t>
  </si>
  <si>
    <t xml:space="preserve"> [51,81]</t>
  </si>
  <si>
    <t>[82,83]</t>
  </si>
  <si>
    <t>[85]</t>
  </si>
  <si>
    <t>[8,10,86,87]</t>
  </si>
  <si>
    <t>[10,32,89–92]</t>
  </si>
  <si>
    <t>[10,18,37,93]</t>
  </si>
  <si>
    <t>[47,94]</t>
  </si>
  <si>
    <t>[47,58,80,95]</t>
  </si>
  <si>
    <t>[8,32]</t>
  </si>
  <si>
    <t>[11,18,21,24,32,98]</t>
  </si>
  <si>
    <t>[10,11,32]</t>
  </si>
  <si>
    <t>[4,10,18]</t>
  </si>
  <si>
    <t>[99,100]</t>
  </si>
  <si>
    <t>[8,26]</t>
  </si>
  <si>
    <t>[101]</t>
  </si>
  <si>
    <t xml:space="preserve">[102–105] </t>
  </si>
  <si>
    <t>[107]</t>
  </si>
  <si>
    <t>[108]</t>
  </si>
  <si>
    <t>[43,109]</t>
  </si>
  <si>
    <t>[2–4,10]</t>
  </si>
  <si>
    <t>[86]</t>
  </si>
  <si>
    <t>[18,26,110–112]</t>
  </si>
  <si>
    <t>[6,18,19,26]</t>
  </si>
  <si>
    <t>[58]</t>
  </si>
  <si>
    <t>[114]</t>
  </si>
  <si>
    <t>[26,116,117]</t>
  </si>
  <si>
    <t>[8,11,13,24,110]</t>
  </si>
  <si>
    <t>[4,6,26]</t>
  </si>
  <si>
    <t>[26,108]</t>
  </si>
  <si>
    <t>[4,32,118]</t>
  </si>
  <si>
    <t>[18]</t>
  </si>
  <si>
    <t>[18,50]</t>
  </si>
  <si>
    <t>[8,27,105,120]</t>
  </si>
  <si>
    <t>[8,11]</t>
  </si>
  <si>
    <t>[8,10,11,13]</t>
  </si>
  <si>
    <t>[3,10,32,121]</t>
  </si>
  <si>
    <t>[24,120,122,123]</t>
  </si>
  <si>
    <t>[11,13]</t>
  </si>
  <si>
    <t>[4,10,11,18,112]</t>
  </si>
  <si>
    <t>[122,124,125]</t>
  </si>
  <si>
    <t>[3,20,24,77]</t>
  </si>
  <si>
    <t>[10,18,27,50,130]</t>
  </si>
  <si>
    <t>[32,131,132]</t>
  </si>
  <si>
    <t>[3,6,18,19,47,77]</t>
  </si>
  <si>
    <t>[18,110,133,134]</t>
  </si>
  <si>
    <t>[103]</t>
  </si>
  <si>
    <t>[4,19,32,67,138]</t>
  </si>
  <si>
    <t>[10,141]</t>
  </si>
  <si>
    <t>[8,142]</t>
  </si>
  <si>
    <t>[8,24,143]</t>
  </si>
  <si>
    <t>[10,11]</t>
  </si>
  <si>
    <t>[11,144]</t>
  </si>
  <si>
    <t>[4,6,17,26,47,77]</t>
  </si>
  <si>
    <t>[10,11,14,24]</t>
  </si>
  <si>
    <t>[3,4,17,26]</t>
  </si>
  <si>
    <t>[11,149,150]</t>
  </si>
  <si>
    <t>[151,152]</t>
  </si>
  <si>
    <t>[153]</t>
  </si>
  <si>
    <t>[10,11,13,18]</t>
  </si>
  <si>
    <t>[11,18,109]</t>
  </si>
  <si>
    <t>[11,18]</t>
  </si>
  <si>
    <t>[11,13,111]</t>
  </si>
  <si>
    <t>[10,18,50]</t>
  </si>
  <si>
    <t>[157]</t>
  </si>
  <si>
    <t>[3,8,18,158–160]</t>
  </si>
  <si>
    <t>[3,18,20,161]</t>
  </si>
  <si>
    <t>[8,11,24]</t>
  </si>
  <si>
    <t>[3,77]</t>
  </si>
  <si>
    <t>[3,6,18,47,77]</t>
  </si>
  <si>
    <t>[163]</t>
  </si>
  <si>
    <t>[8,117,165–168]</t>
  </si>
  <si>
    <t>[17,112]</t>
  </si>
  <si>
    <t>[24,105,112,169]</t>
  </si>
  <si>
    <t>[8,105,168]</t>
  </si>
  <si>
    <t xml:space="preserve"> [3,6,11,170,171]</t>
  </si>
  <si>
    <t>[83]</t>
  </si>
  <si>
    <t>[10,175]</t>
  </si>
  <si>
    <t>[11,80]</t>
  </si>
  <si>
    <t>[19,21]</t>
  </si>
  <si>
    <t>[67,176]</t>
  </si>
  <si>
    <t>[178]</t>
  </si>
  <si>
    <t>[6,21,77]</t>
  </si>
  <si>
    <t>[6,8,18,21]</t>
  </si>
  <si>
    <t>[127,180–183]</t>
  </si>
  <si>
    <t>[11,17,184]</t>
  </si>
  <si>
    <t>[186]</t>
  </si>
  <si>
    <t>[11,144,188]</t>
  </si>
  <si>
    <t>[189]</t>
  </si>
  <si>
    <t>[3,13,20,190]</t>
  </si>
  <si>
    <t>[32,191,192]</t>
  </si>
  <si>
    <t>[11,21,51,193,194]</t>
  </si>
  <si>
    <t>[21,196]</t>
  </si>
  <si>
    <t>[197]</t>
  </si>
  <si>
    <t>[198]</t>
  </si>
  <si>
    <t>[3,4,6,12]</t>
  </si>
  <si>
    <t>[184]</t>
  </si>
  <si>
    <t>[199]</t>
  </si>
  <si>
    <t>[6,21,184]</t>
  </si>
  <si>
    <t>[200]</t>
  </si>
  <si>
    <t>[21,201,202]</t>
  </si>
  <si>
    <t>[203]</t>
  </si>
  <si>
    <t>[11,13,14,21]</t>
  </si>
  <si>
    <t>[41]</t>
  </si>
  <si>
    <t>[60]</t>
  </si>
  <si>
    <t>[35]</t>
  </si>
  <si>
    <t>[113]</t>
  </si>
  <si>
    <t>[126]</t>
  </si>
  <si>
    <t>[140]</t>
  </si>
  <si>
    <t>[162]</t>
  </si>
  <si>
    <t>[195]</t>
  </si>
  <si>
    <t>[204]</t>
  </si>
  <si>
    <t>[17,21]</t>
  </si>
  <si>
    <t xml:space="preserve">[21,35,39] </t>
  </si>
  <si>
    <t>[3,21]</t>
  </si>
  <si>
    <t>[8,17,21]</t>
  </si>
  <si>
    <t>[82]</t>
  </si>
  <si>
    <t>[89]</t>
  </si>
  <si>
    <t>[47,58,96]</t>
  </si>
  <si>
    <t>[130]</t>
  </si>
  <si>
    <t>[132]</t>
  </si>
  <si>
    <t>[6,32,47]</t>
  </si>
  <si>
    <t>[135]</t>
  </si>
  <si>
    <t>[3,6,21,47,147]</t>
  </si>
  <si>
    <t>[17,148]</t>
  </si>
  <si>
    <t>[8,159]</t>
  </si>
  <si>
    <t>[6,47]</t>
  </si>
  <si>
    <t>[5,6,17]</t>
  </si>
  <si>
    <t>[3,6,21]</t>
  </si>
  <si>
    <t>[21,193]</t>
  </si>
  <si>
    <t>[34]</t>
  </si>
  <si>
    <t>[45,46]</t>
  </si>
  <si>
    <t>[9,34]</t>
  </si>
  <si>
    <t>[34,77]</t>
  </si>
  <si>
    <t>[9,22]</t>
  </si>
  <si>
    <t>[84]</t>
  </si>
  <si>
    <t>[22,34]</t>
  </si>
  <si>
    <t>[22,84]</t>
  </si>
  <si>
    <t>[9,22,34]</t>
  </si>
  <si>
    <t>[11,34]</t>
  </si>
  <si>
    <t>[3,22]</t>
  </si>
  <si>
    <t>[139]</t>
  </si>
  <si>
    <t>[11,50]</t>
  </si>
  <si>
    <t>[172,173]</t>
  </si>
  <si>
    <t>[172]</t>
  </si>
  <si>
    <t>Literature</t>
  </si>
  <si>
    <t>G.I. Koldobskii, D.S. Soldatenko, E.S. Gerasimova, N.R. Khokhryakova, M.B. Shcherbinin, V.P. Lebedev, V.A. Ostrovskii, ChemInform Abstract: Tetrazoles. Part 36. Synthesis, Structure and Properties of 5-Nitrotetrazole., ChemInform. 29 (2010) no-no. https://doi.org/10.1002/chin.199835175.</t>
  </si>
  <si>
    <t>G.D. Kozak, Measurement and calculation of the ideal detonation velocity for liquid nitrocompounds, Combust. Explos. Shock Waves. 34 (1998) 581–586. https://doi.org/10.1007/BF02672682.</t>
  </si>
  <si>
    <t>B.M. Dobratz, LLNL Explosives Handbook, University of California, Livermore, CA, USA, 1985.</t>
  </si>
  <si>
    <t>A.A. Kotomin, S.A. Dyshenok, A.S. Kozlov, Empiricheskie metody rascheta vzryvchatykh veshchestv i kopozicij // Empirical methods of calculation for explosives and formulations, Lan’, Sankt-Peterburg, 2020.</t>
  </si>
  <si>
    <t>[5]</t>
  </si>
  <si>
    <t>A.V. Utkin, V.M. Mochalova, S.I. Torunov, Determination of detonation parameters of liquid high explosives, Russ. J. Phys. Chem. B. 5 (2011) 513–518. https://doi.org/10.1134/S1990793111030262.</t>
  </si>
  <si>
    <t>P.C. Souers, J.W. Kury, Comparison of Cylinder Data and Code Calculations for Homogeneous Explosives: Comparison of Cylinder Data and Code Calculations…, Propellants Explos. Pyrotech. 18 (1993) 175–183. https://doi.org/10.1002/prep.199300002.</t>
  </si>
  <si>
    <t>[7]</t>
  </si>
  <si>
    <t>J. Loiseau, S. Goroshin, D.L. Frost, A.J. Higgins, F. Zhang, Ability of metalized gelled nitromethane to accelerate a flyer plate, in: Proc 16th Int. Detonation Symp., 2020: pp. 10–20.</t>
  </si>
  <si>
    <t>X.X. Zhou, Y.Z. Yu, Estimating Detonation Velocity and Detonation Pressure of C-H-N-O Explosives from Gas Coefficient, Sci. Technol. Energ. Mater. 52 (1991) 251–259.</t>
  </si>
  <si>
    <t>D.L. Ornellas, Calorimetric Determinations of the Heat and Products of Detonation for Explosives: October 1961 to April 1982, 1982.</t>
  </si>
  <si>
    <t>R. Meyer, J. Köhler, A. Homburg, Explosives, 6th, completely rev. ed., Wiley-VCH, Weinheim, 2007.</t>
  </si>
  <si>
    <t>L.I. Khmel’nitskii, Spravochnik po vzryvchatym veshchestvam // Handbook of explosives, VIA, Moskva, 1962.</t>
  </si>
  <si>
    <t>L.T. Eremenko, D.A. Nesterenko, G.V. Strukov, V.A. Garanin, Interrelationship between relative impulses and the chemical structures of explosive substances, in: Proc. 7th Int. Pyrotech. Semin., Chicago, IL, USA, 1980: pp. 846–858.</t>
  </si>
  <si>
    <t>G.A. Avakyan, Raschet energeticheskikh i vzrivchatikh kharakteristik vv // Calculation of energetic and detonation properties of explosives, VIA, Moskva, 1964.</t>
  </si>
  <si>
    <t>T.M. Klapötke, Energetic materials encyclopedia, 2nd edition, De Gruyter, Berlin ; Boston, 2021.</t>
  </si>
  <si>
    <t>V.I. Pepekin, L.M. Kostikova, G.T. Afanas’ev, Explosive properties of 1,2-dinitroguanidine, in: Proc. 35th Int. Conf. Fraunhofer ICT, Karlsruhe, Germany, 2004: p. 95.</t>
  </si>
  <si>
    <t>N.V. Muravyev, K.A. Monogarov, I.N. Melnikov, A.N. Pivkina, V.G. Kiselev, Learning to fly: thermochemistry of energetic materials by modified thermogravimetric analysis and highly accurate quantum chemical calculations, Phys. Chem. Chem. Phys. 23 (2021) 15522–15542. https://doi.org/10.1039/D1CP02201F.</t>
  </si>
  <si>
    <t>[17]</t>
  </si>
  <si>
    <t>M.L. Hobbs, M. Baer, Calibrating the BKW-EOS with a large product species data base and measured C-J properties, in: Proc. Tenth Symp. Int. Detonation, 1993: pp. 409–418.</t>
  </si>
  <si>
    <t>L.R. Rothstein, R. Petersen, Predicting High Explosive Detonation Velocities from their composition and structure, Propellants Explos. Pyrotech. 4 (1979) 56–60. https://doi.org/10.1002/prep.19790040305.</t>
  </si>
  <si>
    <t>Yu.A. Bogdanova, S.A. Gubin, B.L. Korsunskii, V.I. Pepekin, Detonation characteristics of powerful insensitive explosives, Combust. Explos. Shock Waves. 45 (2009) 738–743. https://doi.org/10.1007/s10573-009-0092-7.</t>
  </si>
  <si>
    <t>MILITARY EXPLOSIVES, Washington, D.C., 1984. https://www.epa.gov/sites/default/files/2015-03/documents/9546041.pdf.</t>
  </si>
  <si>
    <t>A.S. Smirnov, S.P. Smirnov, V. Balalaev, T.S. Pivina, Calculation of detonation velocity and pressure of individual and composite explosives, in: Proc. New Trends Res. Energ. Mater., Pardubice, Czech Republic, 2014: pp. 24–37.</t>
  </si>
  <si>
    <t>V.I. Pepekin, M.N. Makhov, Yu.A. Lebedev, Teploti vzrivchatogo razlozheniya individual’nikh vv / Heat of explosion of individual explosives, Dokl. Akad. Nauk USSR. 232 (1977) 852–855.</t>
  </si>
  <si>
    <t>E.A. Miroshnichenko, L.M. Kostikova, Y.O. Inozemtcev, Yu.N. Matyushin, Enthalpy Characteristics of the Polynitroamines, in: Proc. 32nd Int. Annu. Conf. Fraunhofer ICT, Pfinztal: Fraunhofer ICT, 2001: p. 103.1-103.8.</t>
  </si>
  <si>
    <t>B.P. Zhukov, Energeticheskie kondensirovannie soedineniya (Kratkii enciklopedicheskii slovar’), Second Edition, Yanus K, Moscow, 2000.</t>
  </si>
  <si>
    <t>V.I. Pepekin, S.A. Gubin, Metody rascheta parametrov detonacii vzrivchatikh veschestv / Methods of the calculation of detonation parameters of explosives, Russ. J. Phys. Chem. B. 22 (2003) 72–97.</t>
  </si>
  <si>
    <t>H.-H. Licht, Performance and Sensitivity of Explosives, Propellants Explos. Pyrotech. 25 (2000) 126–132. https://doi.org/10.1002/1521-4087(200006)25:3&lt;126::AID-PREP126&gt;3.0.CO;2-8.</t>
  </si>
  <si>
    <t>E.-C. Koch, High explosives, propellants, pyrotechnics, DE GRUYTER, Boston, 2020.</t>
  </si>
  <si>
    <t>L.T. Eremenko, D.A. Nesterenko, Analysis of calculation methods of a relative impulse, in: Proc. 9th Int. Pyrotech. Semin., Colorago Springs, CO, USA, 1984: pp. 891–902.</t>
  </si>
  <si>
    <t>[29]</t>
  </si>
  <si>
    <t>P.S. Dendage, D.B. Sarwade, S.N. Asthana, H. Singh, Hydrazinium nitroformate (HNF) and HNF based propellants: A review, J. Energ. Mater. 19 (2001) 41–78. https://doi.org/10.1080/07370650108219392.</t>
  </si>
  <si>
    <t>G.V. Sakovich, S.G. Ilyasov, I.V. Kazantcev, D.S. Ilyasov, A.A. Averin, M.V. Schatnii, Issledovanie i razrabotka komponentov gazogeneriruyushchih sostavov na osnove nitroproizvodnyh mocheviny, Polzunovskiy Vestn. (2010) 47–51.</t>
  </si>
  <si>
    <t>T.S. Kon’kova, Yu.N. Matyushin, E.A. Miroshnichenko, A.B. Vorob’ev, Thermochemical properties of dinitramidic acid salts, Russ. Chem. Bull. 58 (2009) 2020–2027. https://doi.org/10.1007/s11172-009-0276-z.</t>
  </si>
  <si>
    <t>[32]</t>
  </si>
  <si>
    <t>Pyrospravka. Spravochnik po vzrivchatim veschestvam, porokham i pyrotechnicheskim sostavam. Izdanie 6 [In Russian], Moscow, 2012.</t>
  </si>
  <si>
    <t>[33]</t>
  </si>
  <si>
    <t>H.-H. Licht, Sprengstoff TAGN (TAGN Explosive) (L’Explosif TAGN), Center De Documentation De L’armenent France, 1986. https://ntrl.ntis.gov/NTRL/dashboard/searchResults/titleDetail/PB87185914.xhtml.</t>
  </si>
  <si>
    <t>A.S. Smirnov, M.M. Kuklja, K VOPROSU O VOZMOZHNOSTI ISPOL’ZOVANIYA TEPLOTY VZRYVCHATOGO PREVRASHCHENIYA DLYA OCENKI DEJSTVIYA VZRYVA. INDIVIDUAL’NYE VV I IH SMESI DRUG S DRUGOM / On the question of the possiblity of using of heat of detonation for evaluation of the explosion parameters. Individual explosives and its mixtures, in: Proc. Int. Conf. XIX KHARITON Sci. TALKS, Sarov, Russia, 2017: pp. 95–105.</t>
  </si>
  <si>
    <t>P. Samuels, K. Spangler, D. Iwaniuk, R. Cornell, E.L. Baker, L.I. Stiel, Detonation performance analyses for recent energetic molecules, in: St. Louis, MO, USA, 2018: p. 150033. https://doi.org/10.1063/1.5044989.</t>
  </si>
  <si>
    <t>L.B. Chapman, NTO Development at Los Alamos, in: Proc. 9th Symp. Int. Detonation, Oregon, USA, 1989: pp. 401–405.</t>
  </si>
  <si>
    <t>P.C. Souers, A Library of Prompt Detonation Reaction Zone Data, Lawrence Livermore National Laboratory (LLNL), 1998. https://digital.library.unt.edu/ark:/67531/metadc667403/m2/1/high_res_d/289582.pdf.</t>
  </si>
  <si>
    <t>T. Mukundan, G.N. Purandare, J.K. Nair, S.M. Pansare, R.K. Sinha, H. Singh, Explosive Nitrotriazolone Formulates, Def. Sci. J. 52 (2002) 127–133. https://doi.org/10.14429/dsj.52.2157.</t>
  </si>
  <si>
    <t>S. Cudzilo, W.A. Trzcinski, A study on detonation characteristics of pressed NTO, J. Energ. Mater. 19 (2001) 1–21. https://doi.org/10.1080/07370650108219390.</t>
  </si>
  <si>
    <t>T. Zhang, J. Du, Z. Li, X. Lin, L. Wang, L. Yang, T. Zhang, Alkali metal salts of 3,6-dinitramino-1,2,4,5-tetrazine: promising nitrogen-rich energetic materials, CrystEngComm. 21 (2019) 765–772. https://doi.org/10.1039/C8CE01827H.</t>
  </si>
  <si>
    <t>H.-H. Licht, H. Ritter, New energetic materials from triazoles and tetrazines, J. Energ. Mater. 12 (1994) 223–235. https://doi.org/10.1080/07370659408018652.</t>
  </si>
  <si>
    <t>R.L. Simpson, P.F. Pagoria, A.R. Mitchell, C.L. Coon, Synthesis, Properties and Performance of the High Explosive ANTA, Propellants Explos. Pyrotech. 19 (1994) 174–179. https://doi.org/10.1002/prep.19940190405.</t>
  </si>
  <si>
    <t>G.S. Sosnova, I.M. Voskoboinikov, V.M. Brusnikina, Z.Ya. Lapshina, S.S. Novikov, A.Ya. Apin, Comparative data on the physicochemical properties of some liquid explosive substances, Bull. Acad. Sci. USSR Div. Chem. Sci. 11 (1962) 325–326. https://doi.org/10.1007/BF00908046.</t>
  </si>
  <si>
    <t>S. Karlsson, H. Ostmark, C. Eldsater, T. Carlsson, H. Bergman, S. Wallin, A. Pettersson, Detonation and Sensitivity Properties of FOX-7 and Formulations Containing FOX-7, in: Proc 12th Int. Detonation Symp., San Diego, CA, USA, 2002.</t>
  </si>
  <si>
    <t>[45]</t>
  </si>
  <si>
    <t>X. Yang, K. Zhao, X. Tian, Z. Chen, X. Fang, Q. Xiao, X. Li, J. Dong, Y. Hang, X. Wang, An efficient energy characteristics and explosion heat improving method of FOX-7-based aluminized explosives, FirePhysChem. 1 (2021) 1–7. https://doi.org/10.1016/j.fpc.2021.02.003.</t>
  </si>
  <si>
    <t>[46]</t>
  </si>
  <si>
    <t>Yu.N. Matyushin, G.T. Afanas’ev, V.P. Lebedev, M.N. Makhov, V.I. Pepekin, TATB and FOX-7: Thermochemistry, Performance, Detonability, Sensitivity, in: Proc. 33th Int. Annu. Conf. Fraunhofer ICT, Pfinztal: Fraunhofer ICT, 2003: p. 119.</t>
  </si>
  <si>
    <t>M.A. Hiskey, D.E. Chavez, D.L. Naud, Insensitive High-Nitrogen Compounds, Los Alamos National Laboratory, 2001, n.d.</t>
  </si>
  <si>
    <t>D.E. Chavez, Energetic Heterocyclic N-Oxides, in: O.V. Larionov (Ed.), Heterocycl. N-Oxides, Springer International Publishing, Cham, 2017: pp. 1–27. https://doi.org/10.1007/7081_2017_5.</t>
  </si>
  <si>
    <t>M.M. Stinecipher, Eutectic Explosives Containing Ammonium Nitrate, Los Alamos National Laboratory, 1984.</t>
  </si>
  <si>
    <t>Engineering Design Handbook Explosives Series, Properties Of Explosives Of Military Interest, U. S. Army Materiel Command, 1971.</t>
  </si>
  <si>
    <t>C.H. Johansson, P.A. Persson, Detonics of high explosives [Translated to Russian], Mir, Moskva, 1973.</t>
  </si>
  <si>
    <t>H. Ostmark, A. Helte, T. Carlsson, N-GUANYLUREA-DINITRAMIDE (FOX-12):  A NEW EXTREMELY INSENSITIVE ENERGETIC MATERIAL FOR EXPLOSIVES APPLICATIONS, FOI, Swedish Defence Research Agency, Stockholm, 2007.</t>
  </si>
  <si>
    <t>C. Zhou, B.-Z. Wang, H. Huo, Q. Zhou, W. Yang, Z. Ye, A Novel Energetic Material Hydrazinium 3, 5-Dinitroamino-1, 2, 4-triazole: Synthesis and Properties, Chin. J. Energ. Mater. 22 (2014) 576–578. https://doi.org/10.3969/j.issn.1006-9941.2014.04.027.</t>
  </si>
  <si>
    <t>V.I. Kolesov, K.O. Kapranov, A.V. Tkacheva, I.A. Kulagin, Explosive Characteristics of Tetrazene and MTX-1, Combust. Explos. Shock Waves. 57 (2021) 350–355. https://doi.org/10.1134/S0010508221030102.</t>
  </si>
  <si>
    <t>N. Fischer, T.M. Klapötke, D. Piercey, S. Scheutzow, J. Stierstorfer, Diaminouronium Nitriminotetrazolates - Thermally Stable Explosives, Z. Für Anorg. Allg. Chem. 636 (2010) 2357–2363. https://doi.org/10.1002/zaac.201000231.</t>
  </si>
  <si>
    <t>T.S. Kon’kova, Y.N. Matyushin, E.A. Miroshnichenko, A.F. Asachenko, P.B. Dzhevakov, Thermochemical properties TKX-50 (Dihidroxylammonium-5,5-bistetrazole-1,1-diolate), in: Proc. 47th Int. Conf. Fraunhofer ICT, Karlsruhe, Germany, 2016: p. 90/1-90/8.</t>
  </si>
  <si>
    <t>[57]</t>
  </si>
  <si>
    <t>X. Xing, S. Zhao, X. Wang, W. Zhang, X. Diao, W. Fang, W.X. Li, The Detonation Properties Research on TKX‐50 in High Explosives, Propellants Explos. Pyrotech. 44 (2019) 408–412. https://doi.org/10.1002/prep.201800299.</t>
  </si>
  <si>
    <t>J.L. Gottfried, Laser-induced air shock from energetic materials (LASEM) method for estimating detonation performance: Challenges, successes and limitations, in: St. Louis, MO, USA, 2018: p. 100014. https://doi.org/10.1063/1.5044886.</t>
  </si>
  <si>
    <t>[59]</t>
  </si>
  <si>
    <t>V.P. Sinditskii, V.V. Serushkin, V.I. Kolesov, On the Question of the Energetic Performance of TKX‐50, Propellants Explos. Pyrotech. 46 (2021) 1504–1508. https://doi.org/10.1002/prep.202100173.</t>
  </si>
  <si>
    <t>R.L. McKenney, S.R. Struck, R.A. Hildreth, J.A. Fryling, Synthesis and properties of selected energetic organodi- and polyammonium nitrate salts, J. Energ. Mater. 5 (1987) 1–25. https://doi.org/10.1080/07370658708012346.</t>
  </si>
  <si>
    <t>I.B. Akst, Detonation in Intermolecular Explosives: Characteristics of Some Eutectic Formulations, in: Proc 7th Int. Detonation Symp., 1981: pp. 548–559.</t>
  </si>
  <si>
    <t>P.A. Urtiew, C.M. Tarver, R.L. Simpson, Shock initiation of 2,4-dinitroimidazole (2,4-DNI), in: AIP Conf. Proc., AIP, Seattle, Washington (USA), 1996: pp. 887–890. https://doi.org/10.1063/1.50588.</t>
  </si>
  <si>
    <t>D. Price, J. Morris, (Presentation) Synthesis of New Energetic Melt-Pour Candidates, (2009). https://ndiastorage.blob.core.usgovcloudapi.net/ndia/2009/insensitive/7Aprice.pdf.</t>
  </si>
  <si>
    <t>J. Morris, J. Phillips, N. Tucker, D. Price, Synthesis, Formulation, and Testing of 3,4-DNP, (2018). https://ndiastorage.blob.core.usgovcloudapi.net/ndia/2018/imem/20180_Morris_Presentation.pdf.</t>
  </si>
  <si>
    <t>W. Tang, H. Ren, Q. Jiao, W. Zheng, Property Characterization of 3, 4-Dinitropyrazole and its Application, Chin. J. Energ. Mater. 25 (2017) 44–48. https://doi.org/10.11943/j.issn.1006-9941.2017.01.007.</t>
  </si>
  <si>
    <t>A.A. Larin, D.M. Bystrov, L.L. Fershtat, A.A. Konnov, N.N. Makhova, K.A. Monogarov, D.B. Meerov, I.N. Melnikov, A.N. Pivkina, V.G. Kiselev, N.V. Muravyev, Nitro-, Cyano-, and Methylfuroxans, and Their Bis-Derivatives: From Green Primary to Melt-Cast Explosives, Molecules. 25 (2020) 5836. https://doi.org/10.3390/molecules25245836.</t>
  </si>
  <si>
    <t>T. Guo, M. Liu, X.-C. Huang, Z. Wang, S. Qiu, Z. Ge, Z. Meng, Efficient preparation and comprehensive properties of thermal decomposition and detonation for 4,4′-dinitro-3,3′-azofuroxan, J. Anal. Appl. Pyrolysis. 128 (2017) 451–458. https://doi.org/10.1016/j.jaap.2017.06.015.</t>
  </si>
  <si>
    <t>A.D. Nikolaeva, Yu.N. Matyushin, V.I. Pepekin, V.S. Smelov, V.V. Bulidorov, T.I. Bulidorova, A.Ya. Apin, Synthesis and study of detonation properties of 3-methyl-4-nitrofuroxan, Bull. Acad. Sci. USSR Div. Chem. Sci. 21 (1972) 927–928. https://doi.org/10.1007/BF00854509.</t>
  </si>
  <si>
    <t>A. DeHope, M.X. Zhang, K.T. Lorenz, E. Lee, D.A. Parrish, P.F. Pagoria, Synthesis and Small-scale Performance Characterization of New Insensitive Energetic Compounds, in: 2015: p. 7.</t>
  </si>
  <si>
    <r>
      <t xml:space="preserve">V.V. Gordeev, M.V. Kazutin, N.V. Kozyrev, Effect of nitrocellulose and 1-methyl-3-nitro-1,2,4-triazole on properties of CuO/Al and Bi 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O 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 xml:space="preserve"> /Al nanothermites, J. Phys. Conf. Ser. 1666 (2020) 012014. https://doi.org/10.1088/1742-6596/1666/1/012014.</t>
    </r>
  </si>
  <si>
    <t>M. Komarova, A. Vakutin, M. Kazutin, N. Kozyrev, G. Sukhanov, Melt-cast Energetic Matrices with 3-Nitro-1,2,4-triazole Derivatives for Composite Explosives, Cent. Eur. J. Energ. Mater. 17 (2020) 344–361. https://doi.org/10.22211/cejem/127516.</t>
  </si>
  <si>
    <t>D.S. Watt, M.D. Cliff, TNAZ Based Melt-cast Explosives: Technology Review and AMRL Research Directions, 1998, n.d.</t>
  </si>
  <si>
    <t>[73]</t>
  </si>
  <si>
    <t>P. Mareček, K. Dudek, P. Vavra, Laboratory testing of TNAZ mixtures, in: Proc. 32nd Int. Conf. Fraunhofer ICT, Karlsruhe, Germany, 2001: p. 90/1-90/8.</t>
  </si>
  <si>
    <t>A.R. Mitchell, P.F. Pagoria, C.L. Coon, E.S. Jessop, J.F. Poco, C.M. Tarver, R.D. Breithaupt, G.L. Moody, Nitroureas 1. Synthesis, scale-up and characterization of K-6, Propellants Explos. Pyrotech. 19 (1994) 232–239. https://doi.org/10.1002/prep.19940190504.</t>
  </si>
  <si>
    <t>H. Ritter, S. Braun, M. Schafer, H.R. Aerni, H.R. Bircher, B. Berger, J. Mathieu, A. Gupta, Relationship between crystal shape and explosive properties of K-6, in: Proc. 32nd Int. Conf. Fraunhofer ICT, Karlsruhe, Germany, 2001: p. 91/1-91/14.</t>
  </si>
  <si>
    <t>G.D. Kozak, B.N. Kondrikov, A.V. Starchinov, V.A. Polikarpov, O kinetike khimicheskikh reakcii pri detonacii nitroefirov // On the kinetics of chemical reactions at detonation of nitroesters, in: B.S. Svetlov, B.N. Kondrikov, Y.M. Maximov (Eds.), Vopr. Teor. Kondens. Vzrivchatikh Sist., MKhTI in D.I.Mendeleeva, Moskva, 1980: pp. 91–96.</t>
  </si>
  <si>
    <t>P.E. Rouse, Enthalpies of formation and calculated detonation properties of some thermally stable explosives, J. Chem. Eng. Data. 21 (1976) 16–20. https://doi.org/10.1021/je60068a026.</t>
  </si>
  <si>
    <t>T. Altenburg, T.M. Klapötke, A. Penger, Primary Nitramines Related to Nitroglycerine: 1-Nitramino-2,3-dinitroxypropane and 1,2,3-Trinitraminopropane, Cent. Eur. J. Energ. Mater. 6 (2009) 255–275.</t>
  </si>
  <si>
    <t>M.N. Borzykh, B.N. Kondrikov, Generalized dependence of secondary-explosive detonation rate on charge density, Combust. Explos. Shock Waves. 14 (1978) 95–99. https://doi.org/10.1007/BF00789177.</t>
  </si>
  <si>
    <t>N. Mehta, J. Marin, A. Shah, G. Cheng, SMALL-SCALE DETONATION VELOCITY TEST REPORT, Munitions Engineering Technology Center, 2019.</t>
  </si>
  <si>
    <t>[81]</t>
  </si>
  <si>
    <t>F. Zhang, S.B. Murray, A. Yoshinaka, A. Higgins, SHOCK INITIATION AND DETONABILITY OF ISOPROPYL NITRATE, in: Proc 12th Int. Detonation Symp., San Diego, CA, USA, 2002.</t>
  </si>
  <si>
    <t>S.V. Pershin, E.A. Petrov, D.I. Tsaplin, Influence of the molecular structure of explosives on the rate of formation, yield, and properties of ultradisperse diamond, Combust. Explos. Shock Waves. 30 (1994) 235–238. https://doi.org/10.1007/BF00786133.</t>
  </si>
  <si>
    <t>A.S. Zharkov, P.I. Kalmykov, Yu.N. Burtsev, N.P. Kuznetsova, I.A. Merzhanov, N.V. Chukanov, V.V. Zakharov, G.V. Romanenko, K.A. Sidorov, V.E. Zarko, Phase equilibria and structural phase transformations in the furazano[3,4-e]tetrazine-4,6-dioxide-2,4-dinitro-2,4-diazapentane system, Russ. Chem. Bull. 63 (2014) 1785–1800. https://doi.org/10.1007/s11172-014-0668-6.</t>
  </si>
  <si>
    <t>J. Glorian, K.-T. Han, S. Braun, F. Ciszek, B. Baschung, INVESTIGATION OF THE HEAT OF EXPLOSION OF ENERGETIC MATERIALS: AN EXPERIMENTAL AND COMPUTATIONAL STUDY, in: Proc. Int. Conf. Fraunhofer ICT, Karlsruhe, Germany, 2018: p. V15.</t>
  </si>
  <si>
    <t>H.H. Licht, H. Ritter, Synthesis and Explosive Properties of Dinitrobitriazole, Propellants Explos. Pyrotech. 22 (1997) 333–336. https://doi.org/10.1002/prep.19970220607.</t>
  </si>
  <si>
    <t>S.P. Smirnov, A.S. Smirnov, Forecasting the characteristics of the explosives, Russ. J. Appl. Chem. 82 (2009) 1807–1815. https://doi.org/10.1134/S1070427209100127.</t>
  </si>
  <si>
    <t>[87]</t>
  </si>
  <si>
    <t>R.L. Quintana, R. Chapman, K. Young, L.C. Baldwin, A. Nelson, H. Hoang, A. Merritt, J. Carter, Self-Remediating Energetic Fills Based on Cyclic Dinitroureas, Naval Air Warfare Center Weapons Division, 2017.</t>
  </si>
  <si>
    <t>D.L. Naud, M.A. Hiskey, H.H. Harry, Synthesis and Explosive Properties of 5,5′-Dinitro-3,3′-azo-1 H -1,2,4-triazole (DNAT), J. Energ. Mater. 21 (2003) 57–62. https://doi.org/10.1080/07370650305584.</t>
  </si>
  <si>
    <t>C.M. Tarver, P.A. Urtiew, T.D. Tran, Sensitivity of 2,6-Diamino-3,5-Dinitropyrazine-1-Oxide, J. Energ. Mater. 23 (2005) 183–203. https://doi.org/10.1080/07370650591001853.</t>
  </si>
  <si>
    <t>[90]</t>
  </si>
  <si>
    <t>W. Xu, C. An, J. Wang, J. Dong, X. Geng, Preparation and Properties of An Insensitive Booster Explosive Based on LLM-105, Propellants Explos. Pyrotech. 38 (2013) 136–141. https://doi.org/10.1002/prep.201100099.</t>
  </si>
  <si>
    <t>[91]</t>
  </si>
  <si>
    <t>H. Wang, Y. Wang, Y. Li, Y. Liu, Y. Tan, Scale-up synthesis and characterization of 2,6-diamino-3,5-dinitropyrazine-1-oxide, Def. Technol. 10 (2014) 343–348. https://doi.org/10.1016/j.dt.2014.07.008.</t>
  </si>
  <si>
    <t>J.L. Cutting, R. Hodgin, D.M. Hoffman, F.G.R.S. Lee, R.R. McGuire, A.R. Mitchell, P.F. Pagoria, R.D. Schmidt, R.L. Simpson, P.C. Souers, R.W. Swansiger, A Small-Scale Screening Test for HE Performance – Application to the New Explosive LLM-105, in: Proc 11th Int. Detonation Symp., Snowmass, USA, 1998: pp. 828–835.</t>
  </si>
  <si>
    <t>[93]</t>
  </si>
  <si>
    <t>I.B. Akst, Heat of detonation, the cylinder test, and performance munitions, in: Proc. 9th Int. Symp. Detonation, Portland, OR, USA, 1989: pp. 478–488.</t>
  </si>
  <si>
    <t>D.L. Naud, M.A. Hiskey, J.F. Kramer, R. Bishop, H. Harry, S.F. Son, G. Sullivan, High-nitrogen explosives, in: Proc. 29th Int. Pyrotech. Semin., Westminster, 2002.</t>
  </si>
  <si>
    <t>[95]</t>
  </si>
  <si>
    <t>B.C. Tappan, P.R. Bowden, J.P. Lichthardt, M.M. Schmitt, L.G. Hill, Evaluation of the Detonation Performance of Insensitive Explosive Formulations Based on 3,3ʹ Diamino-4,4ʹ-Azoxyfurazan (DAAF) and 3-Nitro-1,2,4-Triazol-5-One (NTO), J. Energ. Mater. 36 (2018) 169–178. https://doi.org/10.1080/07370652.2017.1334720.</t>
  </si>
  <si>
    <t>E.G. Francois, J. Morris, V.E. sanders, Performance Properties of Formulations containing Diaminoazoxyfurazans as Replacements for PBXN-7, Los Alamos National Laboratory, 2010.</t>
  </si>
  <si>
    <t>H. Gao, J.M. Shreeve, Trinitroethyl – a functionality leading to energetic compounds with high nitro content, RSC Adv. 4 (2014) 24874. https://doi.org/10.1039/c4ra03885a.</t>
  </si>
  <si>
    <t>V.I. Pepekin, DEVELOPMENT OF HIGH EFFICIENCY ENERGETIC EXPLOSIVES, in: Proc. 27th Int. Conf. Fraunhofer ICT, Karlsruhe, Germany, 1996: p. 19.1-19.7.</t>
  </si>
  <si>
    <t>V.W. Manner, D.N. Preston, B.C. Tappan, V.E. Sanders, G.W. Brown, E. Hartline, B. Jensen, Explosive Performance Properties of Erythritol Tetranitrate (ETN), Propellants Explos. Pyrotech. 40 (2015) 460–462. https://doi.org/10.1002/prep.201500066.</t>
  </si>
  <si>
    <t>[100]</t>
  </si>
  <si>
    <t>M. Kunzel, O. Vodochodský, J. Kucera, J. Pachman, Simultaneous measurement of detonation velocity and detonation front curvature using fiber optic probe, in: Proc. New Trends Res. Energ. Mater., Pardubice, Czech Republic, 2019: pp. 503–508.</t>
  </si>
  <si>
    <t>V.S. Glukhacheva, S.G. Il’yasov, G.V. Sakovich, T.G. Tolstikova, A.O. Bryzgalov, N.V. Pleshkova, Synthesis, properties, and application of 4-nitrosemicarbazones, Russ. Chem. Bull. 65 (2016) 550–560. https://doi.org/10.1007/s11172-016-1336-9.</t>
  </si>
  <si>
    <t>[102]</t>
  </si>
  <si>
    <t>D. Klasovitý, S. Zeman, A. Růžička, M. Jungová, M. Roháč, cis-1,3,4,6-Tetranitrooctahydroimidazo-[4,5-d]imidazole (BCHMX), its properties and initiation reactivity, J. Hazard. Mater. 164 (2009) 954–961. https://doi.org/10.1016/j.jhazmat.2008.08.106.</t>
  </si>
  <si>
    <t>N.V. Kozyrev, S.V. Sysolyatin, G.V. Sakovich, Synthesis of ultrafine diamonds from alloys of TNT with polycyclic nitramines, Combust. Explos. Shock Waves. 42 (2006) 486–489. https://doi.org/10.1007/s10573-006-0079-6.</t>
  </si>
  <si>
    <t>R. Lewczuk, P. Koślik, J. Rećko, Performance of BCHMX in Small Charges, Propellants Explos. Pyrotech. 45 (2020) 581–586. https://doi.org/10.1002/prep.201900315.</t>
  </si>
  <si>
    <t>O. Larionova, I.F. Falyakhov, L. Yusupova, G. Sharnin, Himiya energoemkih soedinenij. Kniga 2. N-, O-nitrosoedineniya, furoksany, furazany, azidy, diazosoedineniya / Chemistry of energetic materials. Book 2. N-,O-nitrocompounds, furoxans, furazans, azides, diazocompounds, KNITU, Kazan, 2011.</t>
  </si>
  <si>
    <t>D.E. Chavez, M.A. Hiskey, R.D. Gilardi, Novel High-Nitrogen Materials Based on Nitroguanyl-Substituted Tetrazines, Org. Lett. 6 (2004) 2889–2891. https://doi.org/10.1021/ol049076g.</t>
  </si>
  <si>
    <t>D.E. Chavez, B.C. Tappan, M.A. Hiskey, S.F. Son, H. Harry, D. Montoya, S. Hagelberg, New High-Nitrogen Materials Based on Nitroguanyl-Tetrazines: Explosive Properties, Thermal Decomposition and Combustion Studies, Propellants Explos. Pyrotech. 30 (2005) 412–417. https://doi.org/10.1002/prep.200500033.</t>
  </si>
  <si>
    <t>H. Ritter, H.H. Licht, Synthesis and explosive properties of 1,3,5-trinitro-hexahydropyrimidine (tnp) and 5-nitroxymethyl-1,3,5-trinitro-hexahydropyrimidine (nmp), Propellants Explos. Pyrotech. 10 (1985) 147–150. https://doi.org/10.1002/prep.19850100505.</t>
  </si>
  <si>
    <t>[109]</t>
  </si>
  <si>
    <t>B.N. Kondrikov, V.N. Shapoval, O metodakh rascheta skorosti detonacii CHNO-vzrivchatikh veschestv / On the methods of calculation of detonation velocity of CHNO-explosives, Tr. MKhTI Im DIMendeleeva. (1979) 122–129.</t>
  </si>
  <si>
    <t>D. Price, The detonation velocity-loading density relation for selected explosives and mixtures of explosives, J. Energ. Mater. 1 (1983) 55–82. https://doi.org/10.1080/07370658308010819.</t>
  </si>
  <si>
    <t>[111]</t>
  </si>
  <si>
    <t>J. Liu, Nitrate Esters Chemistry and Technology, Springer Singapore, Singapore, 2019. https://doi.org/10.1007/978-981-13-6647-5.</t>
  </si>
  <si>
    <t>[112]</t>
  </si>
  <si>
    <t>J.R. Stine, On predicting properties of explosives – detonation velocity, J. Energ. Mater. 8 (1990) 41–73. https://doi.org/10.1080/07370659008017245.</t>
  </si>
  <si>
    <t>T.M. Klapötke, B. Krumm, F.X. Steemann, Preparation, Characterization, and Sensitivity Data of Some Azidomethyl Nitramines, Propellants Explos. Pyrotech. 34 (2009) 13–23. https://doi.org/10.1002/prep.200700261.</t>
  </si>
  <si>
    <t>T. Altenburg, T.M. Klapötke, A. Penger, J. Stierstorfer, Two Outstanding Explosives Based on 1,2-Dinitroguanidine: Ammonium- dinitroguanidine and 1,7-Diamino-1,7-dinitrimino-2,4,6-trinitro-2,4,6-triazaheptane, Z. Für Anorg. Allg. Chem. 636 (2010) 463–471. https://doi.org/10.1002/zaac.200900560.</t>
  </si>
  <si>
    <t>D.E. Chavez, M.A. Hiskey, D.L. Naud, Tetrazine Explosives, Propellants Explos. Pyrotech. 29 (2004) 209–215. https://doi.org/10.1002/prep.200400050.</t>
  </si>
  <si>
    <t>[116]</t>
  </si>
  <si>
    <t>R.A. Hollins, R.A. Nissan, W.S. Willson, R.D. Gilardi, 2,6-Diamino-3,5-dinitropyridine-1-oxide - A New Insensitive Explosive, Naval Research Laboratory, 1995.</t>
  </si>
  <si>
    <t>Z. He, Z. Liu, D.L. Naud, Performance of 2,6-Diamino-3,5-dinitropyridine-1-oxide-based Heat-resistance Composite Explosives, Chin. J. Energ. Mater. 18 (2010) 97–101. https://doi.org/10.3969/j.issn.1006-9941.2010.01.024.</t>
  </si>
  <si>
    <t>J.J. Sabatini, E.C. Johnson, A Short Review of Nitric Esters and Their Role in Energetic Materials, ACS Omega. 6 (2021) 11813–11821. https://doi.org/10.1021/acsomega.1c01115.</t>
  </si>
  <si>
    <t>L.R. Rothstein, Predicting High Explosive Detonation Velocities from their composition and structure (II), Propellants Explos. Pyrotech. 6 (1981) 91–93. https://doi.org/10.1002/prep.19810060402.</t>
  </si>
  <si>
    <t>[120]</t>
  </si>
  <si>
    <t>R.J. Spear, M.G. Wolfson, Determination of Detonation Parameters of Booster Explosives at Small Charge Diameters, DSTO Materials Research Laboratory, 1990.</t>
  </si>
  <si>
    <t>G.A. Avakyan, L.I. Khmel’nitskii, Spravochnik po vzryvchatym veshchestvam // Handbook of explosives, VIA, Moskva, 1960.</t>
  </si>
  <si>
    <t>Y. Dong, Research on synthesis and performance of polyamino and polynitro benzofuroxan and their metal complex, Nanjing Nanjing Univ. Sci. Technol. (2014). http://150.138.141.24/Kcms/detail/detail.aspx?filename=1015542830.nh&amp;dbcode=CDFD&amp;dbname=CDFDREF.</t>
  </si>
  <si>
    <t>[123]</t>
  </si>
  <si>
    <t>S.L. Christian, A.P. Chafin, A.T. Nielsen, R.L. Atkins, W.P. Norris, R.A. Hollins, Synthesis of aminonitrobenzodifuroxan, US5149818A, 1992. https://patents.google.com/patent/US5149818A/en.</t>
  </si>
  <si>
    <t>P.R. Bowden, B.C. Tappan, M.M. Schmitt, R.W. Lebrun, M. Shorty, P.W. Leonard, J.P. Lichthardt, E.G. Francois, L.G. Hill, Synthesis, formulation and performance evaluation of reduced sensitivity explosives, in: St. Louis, MO, USA, 2018: p. 100005. https://doi.org/10.1063/1.5044877.</t>
  </si>
  <si>
    <t>[125]</t>
  </si>
  <si>
    <t>W.P. Norris, D.J. Vanderah, M.P. Kramer, Synthesis of 5,7-diamino-4,6-dinitrobenzofuroxan, USH1078H, 1992. https://patents.google.com/patent/USH1078H/en.</t>
  </si>
  <si>
    <t>E.C. Johnson, J.J. Sabatini, D.E. Chavez, R.C. Sausa, E.F.C. Byrd, L.A. Wingard, P.E. Guzmàn, Bis(1,2,4-oxadiazole)bis(methylene) Dinitrate: A High-Energy Melt-Castable Explosive and Energetic Propellant Plasticizing Ingredient, Org. Process Res. Dev. 22 (2018) 736–740. https://doi.org/10.1021/acs.oprd.8b00076.</t>
  </si>
  <si>
    <t>R. Ju, Y. Luo, X. wang, Q. Jiang, M. Zhang, Y. Zhou, F. Bi, Preparation and Performance of BOM Melt Cast Explosive, Chin. J. Energ. Mater. 29 (2021) 789–789. https://doi.org/10.11943/CJEM2020234.</t>
  </si>
  <si>
    <t>J. Wang, J. Li, Q. Liang, Y. Huang, H. Dong, A Novel Insensitive High Explosive 3,4-Bis (Aminofurazano) Furoxan, Propellants Explos. Pyrotech. 33 (2008) 347–352. https://doi.org/10.1002/prep.200800225.</t>
  </si>
  <si>
    <t>H. Ritter, H.H. Licht, Synthesis and Characterization of Methylnitramino-Substituted pyridines and triazines, Propellants Explos. Pyrotech. 18 (1993) 81–88. https://doi.org/10.1002/prep.19930180207.</t>
  </si>
  <si>
    <t>B.C. Tappan, J.M. Budzinski, E.M. Mas, L.M. Hull, L.G. Hill, P.R. Bowden, J.P. Lichthardt, A.M. Schmalzer, M. Shorty, P.I. Miller, D.L. McDonald, M.W. Burkett, Development of low-density explosive formulations based on ammonium picrate with slow detonation velocities, in: Portland, OR, USA, 2020: p. 050030. https://doi.org/10.1063/12.0000917.</t>
  </si>
  <si>
    <t>Y.-Z. Yu, X.-P. Guan, F.-B. Chen, B.-R. Duan, J.-G. Sun, Some Aspects on the Synthesis and Properties of Poylnitro Cage Compounds, in: Proc. 22th Int. Pyrotech. Semin., Fort Collins, USA, 1996: pp. 425–432.</t>
  </si>
  <si>
    <t>J. Vágenknecht, P. Mareček, W.A. Trzciński, Sensitivity and performance properties of tex explosives, J. Energ. Mater. 20 (2002) 245–253. https://doi.org/10.1080/07370650208244823.</t>
  </si>
  <si>
    <t>[133]</t>
  </si>
  <si>
    <t>A.R. Khusainov, I.S. Abdrakhmanov, N.I. Rabotinskii, S.P. Smirnov, A.I. Firkin, Plavkoe vzrivchatoe veschestvo / Melt-cast explosive, Patent No. 217.015.929D, 2017.</t>
  </si>
  <si>
    <t>[134]</t>
  </si>
  <si>
    <t>V.M. Mochalova, A.V. Utkin, A.V. Anan’in, Structure of detonation waves in pressed 2′,2′,2′-trinitroethyl-4,4,4-trinitrobutyrate, Russ. J. Phys. Chem. B. 1 (2007) 576–580. https://doi.org/10.1134/S1990793107060115.</t>
  </si>
  <si>
    <t>M.J. Kamlet, C. Dickinson, Chemistry of Detonations. III. Evaluation of the Simplified Calculational Method for Chapman‐Jouguet Detonation Pressures on the Basis of Available Experimental Information, J. Chem. Phys. 48 (1968) 43–50. https://doi.org/10.1063/1.1667939.</t>
  </si>
  <si>
    <t>R. Lewczuk, M. Szala, J. Recko, S. Cudzilo, T.M. Klapötke, W.A. Trzciński, L. Szymanczyk, Explosive Properties of 4,4’,5,5’-Tetranitro-2,2’-bi-1Himidazole Dihydrate, Cent. Eur. J. Energ. Mater. 13 (2016) 612–626. https://doi.org/10.22211/cejem/65006.</t>
  </si>
  <si>
    <t>A.E. Paromov, S.V. Sysolyatin, Oxaazatetracyclo[5.5.0.03, 10.05, 8]Dodecanes – a Promising Foundation for the Design of Thermally Stable, High-Density Energetic Compounds, Chem. Heterocycl. Compd. 53 (2017) 630–637. https://doi.org/10.1007/s10593-017-2105-x.</t>
  </si>
  <si>
    <t>[138]</t>
  </si>
  <si>
    <t>J.L. Gottfried, R.A. Pesce-Rodriguez, D. Farrow, J. Dellinger, Laboratory-scale Investigation of the Influence of Ageing on the Performance and Sensitivity of an Explosive Containing ϵ-CL-20, Propellants Explos. Pyrotech. 43 (2018) 616–625. https://doi.org/10.1002/prep.201800042.</t>
  </si>
  <si>
    <t>M.N. Makhov, Heat of explosion and acceleration ability of aluminized hexanitrohexaazaisowurtzitane-based compositions, Russ. J. Phys. Chem. B. 8 (2014) 186–191. https://doi.org/10.1134/S1990793114020080.</t>
  </si>
  <si>
    <t>M. Göbel, T.M. Klapötke, Development and Testing of Energetic Materials: The Concept of High Densities Based on the Trinitroethyl Functionality, Adv. Funct. Mater. 19 (2009) 347–365. https://doi.org/10.1002/adfm.200801389.</t>
  </si>
  <si>
    <t>[141]</t>
  </si>
  <si>
    <t>G.O. Reddy, A.S. Rao, Safety and stability studies on isosorbide dinitrate (ISDN), J. Hazard. Mater. 32 (1992) 87–104. https://doi.org/10.1016/0304-3894(92)85107-C.</t>
  </si>
  <si>
    <t>[142]</t>
  </si>
  <si>
    <t>X. Li-Hua, W. Ming-xuan, W. En-pu, T. Hui-min, C. Bo-ren, The properties of 1,3,3,5,7,7-hexanitro-1,5-diazacyclooctane (HCO) and its application in propellants, Propellants Explos. Pyrotech. 13 (1988) 21–24. https://doi.org/10.1002/prep.19880130106.</t>
  </si>
  <si>
    <t>[143]</t>
  </si>
  <si>
    <t>A.V. Utkin, S.A. Kolesnikov, S.V. Pershin, Effect of the Initial Density on the Structure of Detonation Waves in Heterogeneous Explosives, Combust. Explos. Shock Waves. 38 (2002) 590–597. https://doi.org/10.1023/A:1020350820677.</t>
  </si>
  <si>
    <t>V.V. Kuzmin, M.Y. Solov’ev, Y.B. Tuzkov, G.D. Kozak, Forensic Investigation of Some Peroxides Explosives, Cent. Eur. J. Energ. Mater. 5 (2008) 77–85.</t>
  </si>
  <si>
    <t>D.E. Chavez, B.C. Tappan, B.A. Mason, D. Parrish, Synthesis and Energetic Properties of Bis-(Triaminoguanidinium) 3,3′-Dinitro-5,5′-Azo-1,2,4-Triazolate (TAGDNAT): A New High-Nitrogen Material, Propellants Explos. Pyrotech. 34 (2009) 475–479. https://doi.org/10.1002/prep.200800081.</t>
  </si>
  <si>
    <t>D. Fischer, J.L. Gottfried, T.M. Klapötke, K. Karaghiosoff, J. Stierstorfer, T.G. Witkowski, Synthesis and Investigation of Advanced Energetic Materials Based on Bispyrazolylmethanes, Angew. Chem. Int. Ed. 55 (2016) 16132–16135. https://doi.org/10.1002/anie.201609267.</t>
  </si>
  <si>
    <t>C. Trzciński, S. Cudzilo, L. Szymanczyk, Determination of the detonation pressure from a water test, Eng. Trans. 49 (2001) 443–458.</t>
  </si>
  <si>
    <t>J.P. Lu, Evaluation of the Thermochemical Code - CHEETAH 2.0 for Modelling Explosives Performance, Weapons Systems Division, 2001.</t>
  </si>
  <si>
    <t>D. Price, J.O. Erkman, A.R. Clairmont, D.J. Edwards, Explosive characterization of dinitrotoluene, Combust. Flame. 14 (1970) 145–148. https://doi.org/10.1016/S0010-2180(70)80020-7.</t>
  </si>
  <si>
    <t>[150]</t>
  </si>
  <si>
    <t>M.A. Cook, W.S. Partridge, Detonation Properties and Reaction Kinetics of 2,4-Dinitrotoluene, J. Phys. Chem. 59 (1955) 673–675. https://doi.org/10.1021/j150530a001.</t>
  </si>
  <si>
    <t>[151]</t>
  </si>
  <si>
    <t>P.J. Samuels, CHARACTERIZATION OF 2,4-DINITROANISOLE (DNAN), in: Proc. Insensitive Munitions Energ. Mater. Symp., Las Vegas, NV, USA, 2012: p. 21. https://ndiastorage.blob.core.usgovcloudapi.net/ndia/2012/IMEM/13830samuels6B.pdf.</t>
  </si>
  <si>
    <t>[152]</t>
  </si>
  <si>
    <t>C. Trzciński, S. Cudzilo, S. Dyjak, M. Nita, A Comparison of the Sensitivity and Performance Characteristics of Melt-pour Explosives with TNT and DNAN Binder, Cent. Eur. J. Energ. Mater. 11 (2014) 443–455.</t>
  </si>
  <si>
    <t>J.M. Veauthier, D.E. Chavez, B.C. Tappan, D.A. Parrish, Synthesis and Characterization of Furazan Energetics ADAAF and DOATF, J. Energ. Mater. 28 (2010) 229–249. https://doi.org/10.1080/07370651003601769.</t>
  </si>
  <si>
    <t>P. Leonard, P. Bowden, M. Shorty, M. Schmitt, Synthesis and Evaluation of 3‐Picrylamino‐1,2,4‐Triazole (PATO) Formulations, Propellants Explos. Pyrotech. 44 (2019) 203–206. https://doi.org/10.1002/prep.201800144.</t>
  </si>
  <si>
    <t>Ch. Wartenberg, P. Charrue, F. Laval, Conception, synthèse et caractérisation d’un nouvel explosif insensible et énergétique : Le DANTNP, Propellants Explos. Pyrotech. 20 (1995) 23–26. https://doi.org/10.1002/prep.19950200107.</t>
  </si>
  <si>
    <t>S. Li, W. Zhang, Y. Wang, X. Zhao, L. Zhang, S. Pang, 2,4,6-Tris(2,2,2-trinitroethylamino)-1,3,5-triazine: Synthesis, Characterization, and Energetic Properties, J. Energ. Mater. 32 (2014) S33–S40. https://doi.org/10.1080/07370652.2013.820232.</t>
  </si>
  <si>
    <r>
      <t xml:space="preserve">M.H.V. Huynh, M.A. Hiskey, Preparation and Properties of 2,4,8,10-Tetranitro-5 </t>
    </r>
    <r>
      <rPr>
        <i/>
        <sz val="11"/>
        <color theme="1"/>
        <rFont val="Calibri"/>
        <family val="2"/>
        <charset val="204"/>
        <scheme val="minor"/>
      </rPr>
      <t>H</t>
    </r>
    <r>
      <rPr>
        <sz val="11"/>
        <color theme="1"/>
        <rFont val="Calibri"/>
        <family val="2"/>
        <charset val="204"/>
        <scheme val="minor"/>
      </rPr>
      <t xml:space="preserve"> -Pyrido[3′,2′:4,5][1,2,3] Triazolo[1,2–a]Benzotriazol-6-ium Inner Salt as a Thermally Stable High Explosive, J. Energ. Mater. 22 (2004) 109–115. https://doi.org/10.1080/07370650490492879.</t>
    </r>
  </si>
  <si>
    <t>[158]</t>
  </si>
  <si>
    <t>P.W. Cooper, S.R. Kurowski, Introduction to the technology of explosives, Wiley-VCH, New York, 1996.</t>
  </si>
  <si>
    <t>[159]</t>
  </si>
  <si>
    <t>M.F. Murphy, N.L. Coleburn, A preliminary evaluation of TACOT, a new heat resistant explosive, U. S. NAVAL ORDNANCE LABORATORY, 1961.</t>
  </si>
  <si>
    <t>[160]</t>
  </si>
  <si>
    <t>https://patentimages.storage.googleapis.com/88/f4/78/33991cfaa6ee53/CN104610000A.pdf, (n.d.).</t>
  </si>
  <si>
    <t>A.S. Tappan, R.R. Wixom, R. Knepper, Geometry effects on detonation in vapor-deposited hexanitroazobenzene (HNAB), AIP Conf. Proc. 1793 (2017) 030036. https://doi.org/10.1063/1.4971494.</t>
  </si>
  <si>
    <t>M. Reichel, D. Dosch, T. Klapötke, K. Karaghiosoff, Correlation between Structure and Energetic Properties of Three Nitroaromatic Compounds: Bis(2,4-dinitrophenyl) Ether, Bis(2,4,6-trinitrophenyl) Ether, and Bis(2,4,6-trinitrophenyl) Thioether, J. Am. Chem. Soc. 141 (2019) 19911–19916. https://doi.org/10.1021/jacs.9b11086.</t>
  </si>
  <si>
    <t>S. Boroński, W.A. Trzciński, M. Szala, Bis(2‐Methyl‐3,5‐Dinitrophenyl)diazene N‐Oxide – Characterization of 2,4,6‐Trinitrotoluene Energetic Degradation Product, Propellants Explos. Pyrotech. (2021) prep.202100285. https://doi.org/10.1002/prep.202100285.</t>
  </si>
  <si>
    <t>T.M. Klapötke, T.G. Witkowski, 5,5′‐Bis(2,4,6‐trinitrophenyl)‐2,2′‐bi(1,3,4‐oxadiazole) (TKX‐55): Thermally Stable Explosive with Outstanding Properties, ChemPlusChem. 81 (2016) 357–360. https://doi.org/10.1002/cplu.201600078.</t>
  </si>
  <si>
    <t>J.P. Agrawal, R.D. Hodgson, Organic chemistry of explosives, John Wiley &amp; Sons Ltd, Chichester, England ; Hoboken, NJ, 2007.</t>
  </si>
  <si>
    <t>[166]</t>
  </si>
  <si>
    <t>J.M. Barker, Thermally Stable Explosive System for Ultra-High-Temperature Perforating, in: Day 1 Mon Sept. 30 2013, SPE, New Orleans, Louisiana, USA, 2013: p. D011S004R005. https://doi.org/10.2118/166179-MS.</t>
  </si>
  <si>
    <t>Geodynamics, Perforating catalogue. Issue 5, (2020). https://www.perf.com/hubfs/PDF%20Files/PerforatingCatalog_03272020_SMS.pdf.</t>
  </si>
  <si>
    <t>M.D. Coburn, D.J. Hufnagle, D.L. Loverro, Development of AFX-511 and AFX-521, Two New Thermally Stable Explosive, Los Alamos National Laboratory, 1980.</t>
  </si>
  <si>
    <t>E. Kilmer, A Characterization Study of Several Heat Resistant Explosives, Naval Ordnance Laboratory, 1974. https://apps.dtic.mil/sti/pdfs/ADB000729.pdf.</t>
  </si>
  <si>
    <t>[170]</t>
  </si>
  <si>
    <t>V.M. Mochalova, A.V. Utkin, V.E. Rykova, S.A. Koldunov, A.N. Zhukov, Detonation properties of the mixture of tetranitromethane/nitrobenzene, Combust. Flame. 208 (2019) 158–163. https://doi.org/10.1016/j.combustflame.2019.06.033.</t>
  </si>
  <si>
    <t>[171]</t>
  </si>
  <si>
    <t>V. Mochalova, A. Utkin, Determination of detonation parameters for liquid high explosives, in: Chicago, Illinois, 2012: pp. 303–306. https://doi.org/10.1063/1.3686279.</t>
  </si>
  <si>
    <t>S.B. Victorov, S.A. Gubin, I.V. Maklashova, V.I. Pepekin, Prognozirovanie detonacionnikh charakteristik bezvodorodnykh vzryvchatikh veschestv / Prediction of the detonation properties of hydrogen-free explosives, Russ. J. Phys. Chem. B. 24 (2005) 22–45.</t>
  </si>
  <si>
    <t>[173]</t>
  </si>
  <si>
    <t>J. Tschinkel, C. Morrison, Shock Sensitivity of Tetranitromethane and Some of Its Mixutres with Fuels., Ind. Eng. Chem. Chem. Eng. Data Ser. 3 (1958) 350–352. https://doi.org/10.1021/i460004a038.</t>
  </si>
  <si>
    <t>V.I. Pepekin, Yu.N. Matyushin, T.V. Gubina, Enthalpy of formation and explosive properties of 5,6-(3,4-furazano)-1,2,3,4-tetrazine-1,3-dioxide, Russ. J. Phys. Chem. B. 5 (2011) 97–100. https://doi.org/10.1134/S1990793111020102.</t>
  </si>
  <si>
    <t>V.I. Pepekin, B.L. Korsunskii, Yu.N. Matyushin, Explosive properties of furoxanes, Combust. Explos. Shock Waves. 44 (2008) 110–114. https://doi.org/10.1007/s10573-008-0015-z.</t>
  </si>
  <si>
    <t>I.V. Ovchinnikov, N.N. Makhova, L.I. Khmel’nitskii, V.S. Kuz’min, L.N. Akimova, V.I. Pepekin, Dinitrodiazenofuroxan as a new energetic explosive, Dokl. Chem. 39 (1998) 67–70.</t>
  </si>
  <si>
    <t>D.V. Khakimov, A.V. Dzyabchenko, T.S. Pivina, Crystal Structure Prediction of Bifurazano[3,4‐b:3′,4′‐f][3′′,4′′‐d](BFFO) in the Experimentally Known Monohydrated and Proposed Anhydrous Forms, Propellants Explos. Pyrotech. 44 (2019) 1528–1534. https://doi.org/10.1002/prep.201900252.</t>
  </si>
  <si>
    <r>
      <t>Y. Zhou, B.-Z. Wang, X. Wang, C. Zhou, H. Huo, Y. Zhang, P. Liu, Synthesis of Bifurazano</t>
    </r>
    <r>
      <rPr>
        <sz val="11"/>
        <color theme="1"/>
        <rFont val="MS Gothic"/>
        <family val="3"/>
        <charset val="204"/>
      </rPr>
      <t>［</t>
    </r>
    <r>
      <rPr>
        <sz val="11"/>
        <color theme="1"/>
        <rFont val="Calibri"/>
        <family val="2"/>
        <charset val="204"/>
        <scheme val="minor"/>
      </rPr>
      <t>3,4-b:3′,4′-f</t>
    </r>
    <r>
      <rPr>
        <sz val="11"/>
        <color theme="1"/>
        <rFont val="MS Gothic"/>
        <family val="3"/>
        <charset val="204"/>
      </rPr>
      <t>］</t>
    </r>
    <r>
      <rPr>
        <sz val="11"/>
        <color theme="1"/>
        <rFont val="Calibri"/>
        <family val="2"/>
        <charset val="204"/>
        <scheme val="minor"/>
      </rPr>
      <t>furoxano</t>
    </r>
    <r>
      <rPr>
        <sz val="11"/>
        <color theme="1"/>
        <rFont val="MS Gothic"/>
        <family val="3"/>
        <charset val="204"/>
      </rPr>
      <t>［</t>
    </r>
    <r>
      <rPr>
        <sz val="11"/>
        <color theme="1"/>
        <rFont val="Calibri"/>
        <family val="2"/>
        <charset val="204"/>
        <scheme val="minor"/>
      </rPr>
      <t>3″,4″-d</t>
    </r>
    <r>
      <rPr>
        <sz val="11"/>
        <color theme="1"/>
        <rFont val="MS Gothic"/>
        <family val="3"/>
        <charset val="204"/>
      </rPr>
      <t>］</t>
    </r>
    <r>
      <rPr>
        <sz val="11"/>
        <color theme="1"/>
        <rFont val="Calibri"/>
        <family val="2"/>
        <charset val="204"/>
        <scheme val="minor"/>
      </rPr>
      <t>oxacyclohetpatriene, Chin. J. Energ. Mater. 20 (2012) 137–138. https://doi.org/10.3969/j.issn.1006 9941.2012.01.032.</t>
    </r>
  </si>
  <si>
    <t>A.A. Astrat’ev, S.F. Mel’nikova, S.A. Duschenok, A.A. Kotomin, D.V. Dashko, A.I. Stepanov, O.F. Yakovleva, A.S. Kozlov, D.A. Barannik, L.A. Loskytova, I.M. Chernega, ISSLEDOVANIE SVOJSTV 3,4-BIS(4-NITROFURAZAN-3-IL)FURAZANA (NTF) - NOVOGO PLAVKOGO VV // Investigation of NTF - new melt-cast explosive, in: Proc. Int. Conf. SHOCK WAVES Condens. MATTER, Kiev, Ukraine, 2012: pp. 380–386.</t>
  </si>
  <si>
    <t>[180]</t>
  </si>
  <si>
    <t>A.I. Stepanov, D.V. Dashko, A.A. Astrat’ev, 3,4-Bis(4’-nitrofurazan-3’-yl)furoxan: a Melt Cast Powerful Explosive and a Valuable Building Block in 1,2,5-Oxadiazole Chemistry, Cent. Eur. J. Energ. Mater. 9 (2012) 329–342.</t>
  </si>
  <si>
    <t>[181]</t>
  </si>
  <si>
    <t>A.S. Smirnov, S.P. Smirnov, T.S. Pivina, D.B. Lempert, A.B. Sheremetev, The Influence of Calculation Accuracy of Formation Enthalpy and Monocrystal Density Estimations on Some Target Parameters for Energetic Materials, in: Proc. 15th Semin. New Trends Res. Energ. Mater., Pardubice, Czech Republic, 2012: pp. 280–292.</t>
  </si>
  <si>
    <t>[182]</t>
  </si>
  <si>
    <t>A.A. Kotomin, A.S. Kozlov, S.A. Dushenok, Detonatability of high-energy-density heterocyclic compounds, Russ. J. Phys. Chem. B. 1 (2007) 573–575. https://doi.org/10.1134/S1990793107060103.</t>
  </si>
  <si>
    <t>[183]</t>
  </si>
  <si>
    <t>Y. Li, J.M. Yuan, W. Zhao, Y. Qu, X.W. Xing, J.W. Meng, Y.C. Liu, Application and Development of 3,4-Bis(3-nitrofurazan-4-yl)furoxan (DNTF), Russ. J. Gen. Chem. 91 (2021) 445–455. https://doi.org/10.1134/S1070363221030142.</t>
  </si>
  <si>
    <t>C.L. Mader, Numerical modeling of explosives and propellants, 3rd ed, CRC Press, Boca Raton, 2008.</t>
  </si>
  <si>
    <t>S. Yue, S. Yang, Synthesis and Properties of 3,6-bis(1H-1,2,3,4-tetrazol-5-yl-amino)-1,2,4,5-tetrazine, Chin. J. Energ. Mater. 12 (2004) 155–157.</t>
  </si>
  <si>
    <t>E.E. Gilbert, W.E. Voreck, Evaluation of a new organic azide: Hexakis(azidomethyl)benzene (HAB), Propellants Explos. Pyrotech. 14 (1989) 19–23. https://doi.org/10.1002/prep.19890140105.</t>
  </si>
  <si>
    <t>V.P. Sinditskii, V.I. Kolesov, V.Yu. Egorshev, D.I. Patrikeev, O.V. Dorofeeva, Thermochemistry of cyclic acetone peroxides, Thermochim. Acta. 585 (2014) 10–15. https://doi.org/10.1016/j.tca.2014.03.046.</t>
  </si>
  <si>
    <t>J. Pachman, R. Matyáš, M. Künzel, Study of TATP: blast characteristics and TNT equivalency of small charges, Shock Waves. 24 (2014) 439–445. https://doi.org/10.1007/s00193-014-0497-4.</t>
  </si>
  <si>
    <t>G.S. Yakovleva, R.Kh. Kurbangalina, L.N. Stesik, Detonation properties of ammonium azide, Combust. Explos. Shock Waves. 13 (1977) 405–407. https://doi.org/10.1007/BF00740326.</t>
  </si>
  <si>
    <t>[190]</t>
  </si>
  <si>
    <t>A.C.D. Van Steen, H.H. Kodde, A. Miyake, Detonation velocities of the Non-Ideal Explosive Ammonium Nitrate, Propellants Explos. Pyrotech. 15 (1990) 58–61. https://doi.org/10.1002/prep.19900150206.</t>
  </si>
  <si>
    <t>H. Ostmark, A. Helte, S. Karlsson, A. Hahma, H. Edvinsson, Detonation Properties and Reaction Rate Modeling of Melt Cast Ammonium Dinitramide (ADN), in: Proc. 12th Int. Detonation Symp., San Diego, CA, USA, 2002: pp. 775–780.</t>
  </si>
  <si>
    <t>R.M. Doherty, Detonation velocity of melt-cast ADN and ADN/nano-diamond cylinders, in: AIP Conf. Proc., AIP, Snowbird, Utah (USA), 2000: pp. 833–836. https://doi.org/10.1063/1.1307251.</t>
  </si>
  <si>
    <t>[193]</t>
  </si>
  <si>
    <t>A.V. Utkin, V.M. Mochalova, S.I. Torunov, V.A. Sosikov, V.A. Garanin, L.B. Romanova, Detonation properties of hydrazine nitrate, J. Phys. Conf. Ser. 1147 (2019) 012034. https://doi.org/10.1088/1742-6596/1147/1/012034.</t>
  </si>
  <si>
    <t>[194]</t>
  </si>
  <si>
    <t>A. Utkin, V. Mochalova, V. Sosikov, S. Torunov, V. Garanin, Detonation properties of solution of hydrazine nitrate/water, Combust. Flame. 220 (2020) 468–474. https://doi.org/10.1016/j.combustflame.2020.07.018.</t>
  </si>
  <si>
    <t>L.V. Kustova, E.P. Kirpichev, Yu.I. Rubtsov, V.V. Avdonin, A.G. Koperin, L.T. Eremenko, Standard Enthalpies of Formation of Certain Nitro Compounds, Bull. Acad. Sci. USSR Div. Chem. Sci. (1981) 1830–1836.</t>
  </si>
  <si>
    <t>[196]</t>
  </si>
  <si>
    <t>L.T. Eremenko, D.A. Nesterenko, Relationship between brisance of explosives and their molecular-atomic structures, Propellants Explos. Pyrotech. 14 (1989) 181–186. https://doi.org/10.1002/prep.19890140502.</t>
  </si>
  <si>
    <t>I.M. Voskoboinikov, A.P. Kutepov, A.V. Fokin, N.F. Voskoboinikova, G.S. Sosnova, Detonation rates of compounds that contain difluoroamino groups, Bull. Acad. Sci. USSR Div. Chem. Sci. 24 (1975) 1778–1779. https://doi.org/10.1007/BF01100048.</t>
  </si>
  <si>
    <t>L.T. Eremenko, G.V. Oreshko, M.A. Fadeev, V.A. Garanin, The improved method for preparing bis(2-fluoro-2,2-dinitroethyl)-difluoroformal (DFF) and its physical and explosive properties, in: Proc. 24th Int. Pyrotech. Semin., Monterey, CA, USA, 1998: pp. 217–222.</t>
  </si>
  <si>
    <t>B.-Z. Wang, L. Zhai, P. Lian, Y. Li, H. Li, H. Huo, X. Li, A Novel Synthesis of 3,3′-Bis(fluorodinitromethyl) difurazanyl ether(FOF-13), Chin. J. Energ. Mater. 22 (2014) 884–886. https://doi.org/10.11943/j.issn.1006-9941.2014.06.033.</t>
  </si>
  <si>
    <t>J. Short, F. Helm, M. Finger, M. Kamlet, M. Kamlet, The chemistry of detonations. VII. A simplified method for predicting explosive performance in the cylinder test, Combust. Flame. 43 (1981) 99–109. https://doi.org/10.1016/0010-2180(81)90009-2.</t>
  </si>
  <si>
    <t>[201]</t>
  </si>
  <si>
    <t>A.A. Kotomin, S.A. Dushenok, M.A. Ilyushin, Detonation velocity of highly dispersed ammonium perchlorate and its mixtures with explosive substances, Combust. Explos. Shock Waves. 53 (2017) 353–357. https://doi.org/10.1134/S0010508217030145.</t>
  </si>
  <si>
    <t>[202]</t>
  </si>
  <si>
    <t>A.J. Tulis, EFFECT OF AMMONIUM PERCHLORATE PARTICLE SIZE ON ITS DETONATION CHARACTERISTICS WHEN SENSITIZED WITH SMALL AMOUNTS OF NITROGUANIDINE, in: Proc. Jt. Symp. Enti Tl Ed Compat. Plast. Explos. Process. Explos., Albuquerque, NM, USA, 1979: pp. 307–314.</t>
  </si>
  <si>
    <t>J.L. Gottfried, C.-C. Wu, R.A. Pesce-Rodriguez, S.D. Walck, S. Ren, Imidazolium Perchlorate: A Novel Energetic Molecular Ferroelectric, DEVCOM Army Research Laboratory, 2021.</t>
  </si>
  <si>
    <t>V.P. Sinditskii, V.Yu. Egorshev, G.F. Rudakov, S.A. Filatov, A.V. Burzhava, High-Nitrogen Energetic Materials of 1,2,4,5-Tetrazine Family: Thermal and Combustion Behaviors, in: L.T. De Luca, T. Shimada, V.P. Sinditskii, M. Calabro (Eds.), Chem. Rocket Propuls., Springer International Publishing, Cham, 2017: pp. 89–125. https://doi.org/10.1007/978-3-319-27748-6_3.</t>
  </si>
  <si>
    <t>[205]</t>
  </si>
  <si>
    <t>P.J. Linstrom, W.G. Mallard, eds., NIST Chemistry WebBook, NIST Standard Reference Database Number 69, National Institute of Standards and Technology, Gaithersburg MD, n.d. http://webbook.nist.gov (accessed September 14, 2016).</t>
  </si>
  <si>
    <t>[206]</t>
  </si>
  <si>
    <t>P.B. Kempa, H. Bathelt, F. Volk, M. Weindel, ICT Database of Thermochemical Values, 2004.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</si>
</sst>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MS Gothic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  <xf numFmtId="0" fontId="1" fillId="0" borderId="0" xfId="0" applyFont="1" applyFill="1" applyBorder="1"/>
    <xf numFmtId="0" fontId="4" fillId="0" borderId="0" xfId="0" applyFont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/>
    <xf numFmtId="1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/>
    <xf numFmtId="1" fontId="4" fillId="0" borderId="0" xfId="0" applyNumberFormat="1" applyFon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1" fontId="4" fillId="0" borderId="1" xfId="0" applyNumberFormat="1" applyFont="1" applyFill="1" applyBorder="1" applyAlignment="1">
      <alignment horizontal="left"/>
    </xf>
    <xf numFmtId="0" fontId="4" fillId="0" borderId="0" xfId="0" quotePrefix="1" applyFont="1" applyFill="1" applyBorder="1" applyAlignment="1">
      <alignment horizontal="right"/>
    </xf>
    <xf numFmtId="2" fontId="4" fillId="0" borderId="0" xfId="0" applyNumberFormat="1" applyFont="1" applyFill="1" applyBorder="1" applyAlignment="1">
      <alignment horizontal="right"/>
    </xf>
    <xf numFmtId="0" fontId="0" fillId="0" borderId="1" xfId="0" applyFont="1" applyBorder="1" applyAlignment="1">
      <alignment vertical="center"/>
    </xf>
    <xf numFmtId="0" fontId="0" fillId="0" borderId="0" xfId="0" applyFont="1" applyBorder="1"/>
    <xf numFmtId="49" fontId="1" fillId="0" borderId="0" xfId="0" applyNumberFormat="1" applyFont="1" applyFill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1" fontId="4" fillId="0" borderId="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left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justify" vertical="center"/>
    </xf>
    <xf numFmtId="0" fontId="0" fillId="0" borderId="0" xfId="0" applyFont="1" applyBorder="1" applyAlignment="1">
      <alignment horizontal="right"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0"/>
  <sheetViews>
    <sheetView tabSelected="1" zoomScale="60" zoomScaleNormal="60" workbookViewId="0">
      <selection activeCell="Q20" sqref="Q20"/>
    </sheetView>
  </sheetViews>
  <sheetFormatPr defaultRowHeight="14.4" x14ac:dyDescent="0.3"/>
  <cols>
    <col min="1" max="2" width="8.88671875" style="2"/>
    <col min="3" max="3" width="8.88671875" style="28"/>
    <col min="4" max="5" width="8.88671875" style="2"/>
    <col min="6" max="6" width="15.21875" style="2" customWidth="1"/>
    <col min="7" max="7" width="8.88671875" style="14"/>
    <col min="8" max="8" width="11.21875" style="26" bestFit="1" customWidth="1"/>
    <col min="9" max="10" width="8.88671875" style="29"/>
    <col min="11" max="13" width="8.88671875" style="2"/>
    <col min="14" max="14" width="8.88671875" style="30"/>
    <col min="15" max="15" width="20.77734375" style="20" customWidth="1"/>
    <col min="16" max="17" width="8.88671875" style="27"/>
    <col min="18" max="16384" width="8.88671875" style="2"/>
  </cols>
  <sheetData>
    <row r="1" spans="1:30" s="3" customFormat="1" x14ac:dyDescent="0.3">
      <c r="A1" s="12" t="s">
        <v>1062</v>
      </c>
      <c r="B1" s="12" t="s">
        <v>932</v>
      </c>
      <c r="C1" s="24" t="s">
        <v>151</v>
      </c>
      <c r="D1" s="12" t="s">
        <v>1063</v>
      </c>
      <c r="E1" s="12" t="s">
        <v>4</v>
      </c>
      <c r="F1" s="12" t="s">
        <v>1064</v>
      </c>
      <c r="G1" s="15" t="s">
        <v>1065</v>
      </c>
      <c r="H1" s="25" t="s">
        <v>1066</v>
      </c>
      <c r="I1" s="25" t="s">
        <v>8</v>
      </c>
      <c r="J1" s="25" t="s">
        <v>1137</v>
      </c>
      <c r="K1" s="12" t="s">
        <v>1067</v>
      </c>
      <c r="L1" s="12" t="s">
        <v>1139</v>
      </c>
      <c r="M1" s="12" t="s">
        <v>1138</v>
      </c>
      <c r="N1" s="18" t="s">
        <v>1069</v>
      </c>
      <c r="O1" s="18" t="s">
        <v>1094</v>
      </c>
      <c r="P1" s="18" t="s">
        <v>1068</v>
      </c>
      <c r="Q1" s="34" t="s">
        <v>1140</v>
      </c>
    </row>
    <row r="2" spans="1:30" x14ac:dyDescent="0.3">
      <c r="A2" s="7">
        <v>1.85</v>
      </c>
      <c r="B2" s="7" t="s">
        <v>933</v>
      </c>
      <c r="C2" s="11" t="s">
        <v>248</v>
      </c>
      <c r="D2" s="7" t="s">
        <v>910</v>
      </c>
      <c r="E2" s="7" t="s">
        <v>246</v>
      </c>
      <c r="F2" s="7" t="s">
        <v>107</v>
      </c>
      <c r="G2" s="13">
        <f>2273*115/1000</f>
        <v>261.39499999999998</v>
      </c>
      <c r="H2" s="6">
        <v>1.73</v>
      </c>
      <c r="I2" s="6">
        <v>8.9</v>
      </c>
      <c r="J2" s="6"/>
      <c r="K2" s="7"/>
      <c r="N2" s="19"/>
      <c r="O2" s="32" t="s">
        <v>939</v>
      </c>
      <c r="P2" s="31"/>
      <c r="Q2" s="33"/>
    </row>
    <row r="3" spans="1:30" x14ac:dyDescent="0.3">
      <c r="A3" s="7">
        <v>1.55</v>
      </c>
      <c r="B3" s="7" t="s">
        <v>938</v>
      </c>
      <c r="C3" s="11" t="s">
        <v>780</v>
      </c>
      <c r="D3" s="7" t="s">
        <v>782</v>
      </c>
      <c r="E3" s="7" t="s">
        <v>781</v>
      </c>
      <c r="F3" s="7" t="s">
        <v>779</v>
      </c>
      <c r="G3" s="13">
        <v>93.3</v>
      </c>
      <c r="H3" s="6">
        <v>1.55</v>
      </c>
      <c r="I3" s="6">
        <v>6.2050000000000001</v>
      </c>
      <c r="J3" s="6"/>
      <c r="K3" s="7"/>
      <c r="N3" s="19"/>
      <c r="O3" s="32" t="s">
        <v>940</v>
      </c>
      <c r="P3" s="19"/>
      <c r="Q3" s="33"/>
    </row>
    <row r="4" spans="1:30" x14ac:dyDescent="0.3">
      <c r="A4" s="7">
        <v>1.1299999999999999</v>
      </c>
      <c r="B4" s="7" t="s">
        <v>935</v>
      </c>
      <c r="C4" s="11" t="s">
        <v>194</v>
      </c>
      <c r="D4" s="7" t="s">
        <v>195</v>
      </c>
      <c r="E4" s="7" t="s">
        <v>164</v>
      </c>
      <c r="F4" s="7" t="s">
        <v>193</v>
      </c>
      <c r="G4" s="13">
        <f>-27*4.184</f>
        <v>-112.968</v>
      </c>
      <c r="H4" s="6">
        <v>1.1299999999999999</v>
      </c>
      <c r="I4" s="6">
        <v>6.35</v>
      </c>
      <c r="J4" s="6">
        <v>1.1299999999999999</v>
      </c>
      <c r="K4" s="7">
        <v>13</v>
      </c>
      <c r="L4" s="2">
        <v>1.1299999999999999</v>
      </c>
      <c r="M4" s="2">
        <v>1076</v>
      </c>
      <c r="N4" s="19"/>
      <c r="O4" s="32" t="s">
        <v>996</v>
      </c>
      <c r="P4" s="31" t="s">
        <v>942</v>
      </c>
      <c r="Q4" s="33" t="s">
        <v>941</v>
      </c>
    </row>
    <row r="5" spans="1:30" x14ac:dyDescent="0.3">
      <c r="A5" s="7">
        <v>1.21</v>
      </c>
      <c r="B5" s="7" t="s">
        <v>935</v>
      </c>
      <c r="C5" s="11" t="s">
        <v>274</v>
      </c>
      <c r="D5" s="7" t="s">
        <v>273</v>
      </c>
      <c r="E5" s="7" t="s">
        <v>275</v>
      </c>
      <c r="F5" s="7" t="s">
        <v>276</v>
      </c>
      <c r="G5" s="8">
        <v>-154</v>
      </c>
      <c r="H5" s="6">
        <v>1.21</v>
      </c>
      <c r="I5" s="6">
        <v>6.75</v>
      </c>
      <c r="J5" s="6"/>
      <c r="K5" s="9"/>
      <c r="L5" s="2">
        <v>1.2170000000000001</v>
      </c>
      <c r="M5" s="2">
        <v>1440</v>
      </c>
      <c r="N5" s="31"/>
      <c r="O5" s="32" t="s">
        <v>1170</v>
      </c>
      <c r="P5" s="19"/>
      <c r="Q5" s="33" t="s">
        <v>945</v>
      </c>
    </row>
    <row r="6" spans="1:30" x14ac:dyDescent="0.3">
      <c r="A6" s="7">
        <v>1.68</v>
      </c>
      <c r="B6" s="7" t="s">
        <v>937</v>
      </c>
      <c r="C6" s="11" t="s">
        <v>585</v>
      </c>
      <c r="D6" s="7" t="s">
        <v>579</v>
      </c>
      <c r="E6" s="7" t="s">
        <v>578</v>
      </c>
      <c r="F6" s="7" t="s">
        <v>584</v>
      </c>
      <c r="G6" s="8">
        <v>-281</v>
      </c>
      <c r="H6" s="6">
        <v>1.1000000000000001</v>
      </c>
      <c r="I6" s="6">
        <v>5.48</v>
      </c>
      <c r="J6" s="6"/>
      <c r="K6" s="9"/>
      <c r="N6" s="31"/>
      <c r="O6" s="32" t="s">
        <v>1171</v>
      </c>
      <c r="P6" s="19"/>
      <c r="Q6" s="33"/>
    </row>
    <row r="7" spans="1:30" x14ac:dyDescent="0.3">
      <c r="A7" s="7">
        <v>1.885</v>
      </c>
      <c r="B7" s="7" t="s">
        <v>933</v>
      </c>
      <c r="C7" s="11" t="s">
        <v>573</v>
      </c>
      <c r="D7" s="7" t="s">
        <v>572</v>
      </c>
      <c r="E7" s="7" t="s">
        <v>118</v>
      </c>
      <c r="F7" s="7" t="s">
        <v>571</v>
      </c>
      <c r="G7" s="13">
        <v>0</v>
      </c>
      <c r="H7" s="6">
        <v>1.885</v>
      </c>
      <c r="I7" s="6">
        <v>9.1999999999999993</v>
      </c>
      <c r="J7" s="6"/>
      <c r="K7" s="7"/>
      <c r="N7" s="19"/>
      <c r="O7" s="32" t="s">
        <v>1172</v>
      </c>
      <c r="P7" s="19"/>
      <c r="Q7" s="33"/>
      <c r="U7" s="36" t="s">
        <v>933</v>
      </c>
      <c r="V7" s="37" t="s">
        <v>934</v>
      </c>
      <c r="W7" s="37"/>
      <c r="X7" s="37"/>
      <c r="Y7" s="37"/>
      <c r="Z7" s="37"/>
      <c r="AA7" s="37"/>
      <c r="AB7" s="37"/>
      <c r="AC7" s="7"/>
      <c r="AD7"/>
    </row>
    <row r="8" spans="1:30" x14ac:dyDescent="0.3">
      <c r="A8" s="7">
        <v>1.8049999999999999</v>
      </c>
      <c r="B8" s="7"/>
      <c r="C8" s="11" t="s">
        <v>201</v>
      </c>
      <c r="D8" s="7" t="s">
        <v>202</v>
      </c>
      <c r="E8" s="7" t="s">
        <v>117</v>
      </c>
      <c r="F8" s="7" t="s">
        <v>200</v>
      </c>
      <c r="G8" s="13">
        <v>-90.3</v>
      </c>
      <c r="H8" s="6">
        <v>1.71</v>
      </c>
      <c r="I8" s="6">
        <v>8.1999999999999993</v>
      </c>
      <c r="J8" s="6">
        <v>1.72</v>
      </c>
      <c r="K8" s="7">
        <v>24.5</v>
      </c>
      <c r="L8" s="2">
        <v>1.58</v>
      </c>
      <c r="M8" s="2">
        <v>820</v>
      </c>
      <c r="N8" s="31" t="s">
        <v>1053</v>
      </c>
      <c r="O8" s="32" t="s">
        <v>1173</v>
      </c>
      <c r="P8" s="31" t="s">
        <v>1314</v>
      </c>
      <c r="Q8" s="33" t="s">
        <v>952</v>
      </c>
      <c r="U8" s="36" t="s">
        <v>935</v>
      </c>
      <c r="V8" s="37" t="s">
        <v>936</v>
      </c>
      <c r="W8" s="37"/>
      <c r="X8" s="37"/>
      <c r="Y8" s="37"/>
      <c r="Z8" s="37"/>
      <c r="AA8" s="37"/>
      <c r="AB8" s="37"/>
      <c r="AC8" s="5"/>
      <c r="AD8"/>
    </row>
    <row r="9" spans="1:30" x14ac:dyDescent="0.3">
      <c r="A9" s="7">
        <v>1.74</v>
      </c>
      <c r="B9" s="7" t="s">
        <v>933</v>
      </c>
      <c r="C9" s="11" t="s">
        <v>582</v>
      </c>
      <c r="D9" s="7" t="s">
        <v>583</v>
      </c>
      <c r="E9" s="7" t="s">
        <v>580</v>
      </c>
      <c r="F9" s="7" t="s">
        <v>581</v>
      </c>
      <c r="G9" s="13">
        <v>-62</v>
      </c>
      <c r="H9" s="6">
        <v>1.68</v>
      </c>
      <c r="I9" s="6">
        <v>8.5</v>
      </c>
      <c r="J9" s="6"/>
      <c r="K9" s="7"/>
      <c r="L9" s="2">
        <v>1.74</v>
      </c>
      <c r="M9" s="2">
        <v>1440</v>
      </c>
      <c r="N9" s="31" t="s">
        <v>949</v>
      </c>
      <c r="O9" s="32" t="s">
        <v>1174</v>
      </c>
      <c r="P9" s="19"/>
      <c r="Q9" s="33" t="s">
        <v>945</v>
      </c>
      <c r="U9" s="36" t="s">
        <v>937</v>
      </c>
      <c r="V9" s="37" t="s">
        <v>943</v>
      </c>
      <c r="W9" s="37"/>
      <c r="X9" s="37"/>
      <c r="Y9" s="37"/>
      <c r="Z9" s="37"/>
      <c r="AA9" s="37"/>
      <c r="AB9" s="37"/>
      <c r="AC9" s="5"/>
      <c r="AD9"/>
    </row>
    <row r="10" spans="1:30" x14ac:dyDescent="0.3">
      <c r="A10" s="7">
        <v>1.65</v>
      </c>
      <c r="B10" s="7" t="s">
        <v>933</v>
      </c>
      <c r="C10" s="11" t="s">
        <v>698</v>
      </c>
      <c r="D10" s="7" t="s">
        <v>623</v>
      </c>
      <c r="E10" s="7" t="s">
        <v>624</v>
      </c>
      <c r="F10" s="7" t="s">
        <v>622</v>
      </c>
      <c r="G10" s="13">
        <v>-563</v>
      </c>
      <c r="H10" s="6">
        <v>1.1000000000000001</v>
      </c>
      <c r="I10" s="6">
        <v>5.08</v>
      </c>
      <c r="J10" s="6"/>
      <c r="K10" s="7"/>
      <c r="N10" s="31"/>
      <c r="O10" s="32" t="s">
        <v>944</v>
      </c>
      <c r="P10" s="31"/>
      <c r="Q10" s="33"/>
      <c r="U10" s="36" t="s">
        <v>955</v>
      </c>
      <c r="V10" s="37" t="s">
        <v>956</v>
      </c>
      <c r="W10" s="37"/>
      <c r="X10" s="37"/>
      <c r="Y10" s="37"/>
      <c r="Z10" s="37"/>
      <c r="AA10" s="37"/>
      <c r="AB10" s="37"/>
      <c r="AC10" s="5"/>
      <c r="AD10"/>
    </row>
    <row r="11" spans="1:30" x14ac:dyDescent="0.3">
      <c r="A11" s="7">
        <v>1.71</v>
      </c>
      <c r="B11" s="7"/>
      <c r="C11" s="11" t="s">
        <v>570</v>
      </c>
      <c r="D11" s="7" t="s">
        <v>134</v>
      </c>
      <c r="E11" s="7" t="s">
        <v>119</v>
      </c>
      <c r="F11" s="7" t="s">
        <v>569</v>
      </c>
      <c r="G11" s="13">
        <v>25</v>
      </c>
      <c r="H11" s="6">
        <v>1.66</v>
      </c>
      <c r="I11" s="6">
        <v>8.5220000000000002</v>
      </c>
      <c r="J11" s="6"/>
      <c r="K11" s="7"/>
      <c r="N11" s="31"/>
      <c r="O11" s="32" t="s">
        <v>1175</v>
      </c>
      <c r="P11" s="19"/>
      <c r="Q11" s="33"/>
      <c r="U11" s="36" t="s">
        <v>978</v>
      </c>
      <c r="V11" s="37" t="s">
        <v>979</v>
      </c>
      <c r="W11" s="37"/>
      <c r="X11" s="37"/>
      <c r="Y11" s="37"/>
      <c r="Z11" s="37"/>
      <c r="AA11" s="37"/>
      <c r="AB11" s="37"/>
      <c r="AC11" s="5"/>
      <c r="AD11"/>
    </row>
    <row r="12" spans="1:30" x14ac:dyDescent="0.3">
      <c r="A12" s="7">
        <v>1.875</v>
      </c>
      <c r="B12" s="2" t="s">
        <v>933</v>
      </c>
      <c r="C12" s="28" t="s">
        <v>1076</v>
      </c>
      <c r="D12" s="2" t="s">
        <v>1077</v>
      </c>
      <c r="E12" s="7" t="s">
        <v>1070</v>
      </c>
      <c r="F12" s="2" t="s">
        <v>1075</v>
      </c>
      <c r="G12" s="22">
        <v>-76.900000000000006</v>
      </c>
      <c r="H12" s="22">
        <v>1.87</v>
      </c>
      <c r="I12" s="22">
        <v>9.1</v>
      </c>
      <c r="J12" s="22"/>
      <c r="N12" s="31"/>
      <c r="O12" s="32" t="s">
        <v>1176</v>
      </c>
      <c r="P12" s="31"/>
      <c r="Q12" s="33"/>
    </row>
    <row r="13" spans="1:30" x14ac:dyDescent="0.3">
      <c r="A13" s="7">
        <v>1.42</v>
      </c>
      <c r="B13" s="7" t="s">
        <v>933</v>
      </c>
      <c r="C13" s="11" t="s">
        <v>701</v>
      </c>
      <c r="D13" s="7" t="s">
        <v>700</v>
      </c>
      <c r="E13" s="7" t="s">
        <v>702</v>
      </c>
      <c r="F13" s="7" t="s">
        <v>699</v>
      </c>
      <c r="G13" s="13">
        <v>-353</v>
      </c>
      <c r="H13" s="6">
        <v>1.2</v>
      </c>
      <c r="I13" s="6">
        <v>3.28</v>
      </c>
      <c r="J13" s="6"/>
      <c r="K13" s="7"/>
      <c r="N13" s="19"/>
      <c r="O13" s="32" t="s">
        <v>944</v>
      </c>
      <c r="P13" s="19"/>
      <c r="Q13" s="33"/>
    </row>
    <row r="14" spans="1:30" x14ac:dyDescent="0.3">
      <c r="A14" s="7">
        <v>1.4359999999999999</v>
      </c>
      <c r="B14" s="7" t="s">
        <v>933</v>
      </c>
      <c r="C14" s="11" t="s">
        <v>577</v>
      </c>
      <c r="D14" s="7" t="s">
        <v>576</v>
      </c>
      <c r="E14" s="7" t="s">
        <v>575</v>
      </c>
      <c r="F14" s="7" t="s">
        <v>574</v>
      </c>
      <c r="G14" s="13">
        <v>-387</v>
      </c>
      <c r="H14" s="6">
        <v>1</v>
      </c>
      <c r="I14" s="6">
        <v>3.7</v>
      </c>
      <c r="J14" s="6"/>
      <c r="K14" s="7"/>
      <c r="N14" s="19"/>
      <c r="O14" s="32" t="s">
        <v>944</v>
      </c>
      <c r="P14" s="19"/>
      <c r="Q14" s="33"/>
    </row>
    <row r="15" spans="1:30" x14ac:dyDescent="0.3">
      <c r="A15" s="7"/>
      <c r="B15" s="7" t="s">
        <v>933</v>
      </c>
      <c r="C15" s="11" t="s">
        <v>997</v>
      </c>
      <c r="D15" s="7" t="s">
        <v>680</v>
      </c>
      <c r="E15" s="7" t="s">
        <v>679</v>
      </c>
      <c r="F15" s="7" t="s">
        <v>574</v>
      </c>
      <c r="G15" s="13">
        <f>-3891*122/1000</f>
        <v>-474.702</v>
      </c>
      <c r="H15" s="6">
        <v>1.51</v>
      </c>
      <c r="I15" s="6">
        <v>3.88</v>
      </c>
      <c r="J15" s="6"/>
      <c r="K15" s="9"/>
      <c r="N15" s="31"/>
      <c r="O15" s="32" t="s">
        <v>1177</v>
      </c>
      <c r="P15" s="19"/>
      <c r="Q15" s="33"/>
    </row>
    <row r="16" spans="1:30" x14ac:dyDescent="0.3">
      <c r="A16" s="7">
        <v>1.7</v>
      </c>
      <c r="B16" s="7" t="s">
        <v>933</v>
      </c>
      <c r="C16" s="11" t="s">
        <v>998</v>
      </c>
      <c r="D16" s="7" t="s">
        <v>683</v>
      </c>
      <c r="E16" s="7" t="s">
        <v>682</v>
      </c>
      <c r="F16" s="7" t="s">
        <v>681</v>
      </c>
      <c r="G16" s="8">
        <f>-3389*184/1000</f>
        <v>-623.57600000000002</v>
      </c>
      <c r="H16" s="6">
        <v>1.54</v>
      </c>
      <c r="I16" s="6">
        <v>5.15</v>
      </c>
      <c r="J16" s="6"/>
      <c r="K16" s="9"/>
      <c r="N16" s="31" t="s">
        <v>1177</v>
      </c>
      <c r="O16" s="32" t="s">
        <v>1177</v>
      </c>
      <c r="P16" s="19"/>
      <c r="Q16" s="33"/>
    </row>
    <row r="17" spans="1:17" x14ac:dyDescent="0.3">
      <c r="A17" s="7">
        <v>1.6</v>
      </c>
      <c r="B17" s="7" t="s">
        <v>937</v>
      </c>
      <c r="C17" s="11" t="s">
        <v>619</v>
      </c>
      <c r="D17" s="7" t="s">
        <v>101</v>
      </c>
      <c r="E17" s="7" t="s">
        <v>100</v>
      </c>
      <c r="F17" s="7" t="s">
        <v>618</v>
      </c>
      <c r="G17" s="13">
        <f>-12*4.184</f>
        <v>-50.207999999999998</v>
      </c>
      <c r="H17" s="6">
        <v>1.47</v>
      </c>
      <c r="I17" s="6">
        <v>8.048</v>
      </c>
      <c r="J17" s="6"/>
      <c r="K17" s="7"/>
      <c r="L17" s="2">
        <v>1.57</v>
      </c>
      <c r="M17" s="2">
        <v>944</v>
      </c>
      <c r="N17" s="31" t="s">
        <v>1125</v>
      </c>
      <c r="O17" s="32" t="s">
        <v>1178</v>
      </c>
      <c r="P17" s="19"/>
      <c r="Q17" s="33" t="s">
        <v>1332</v>
      </c>
    </row>
    <row r="18" spans="1:17" x14ac:dyDescent="0.3">
      <c r="A18" s="7">
        <v>1.93</v>
      </c>
      <c r="B18" s="7" t="s">
        <v>937</v>
      </c>
      <c r="C18" s="11" t="s">
        <v>376</v>
      </c>
      <c r="D18" s="7" t="s">
        <v>377</v>
      </c>
      <c r="E18" s="7" t="s">
        <v>55</v>
      </c>
      <c r="F18" s="7" t="s">
        <v>56</v>
      </c>
      <c r="G18" s="13">
        <v>-127</v>
      </c>
      <c r="H18" s="6">
        <v>1.8720000000000001</v>
      </c>
      <c r="I18" s="6">
        <v>8.1199999999999992</v>
      </c>
      <c r="J18" s="6">
        <v>1.8720000000000001</v>
      </c>
      <c r="K18" s="7">
        <v>30.1</v>
      </c>
      <c r="L18" s="2">
        <v>1.94</v>
      </c>
      <c r="M18" s="2">
        <v>899</v>
      </c>
      <c r="N18" s="31" t="s">
        <v>1053</v>
      </c>
      <c r="O18" s="32" t="s">
        <v>1179</v>
      </c>
      <c r="P18" s="31" t="s">
        <v>1315</v>
      </c>
      <c r="Q18" s="33" t="s">
        <v>1332</v>
      </c>
    </row>
    <row r="19" spans="1:17" x14ac:dyDescent="0.3">
      <c r="A19" s="7">
        <v>1.8009999999999999</v>
      </c>
      <c r="B19" s="7" t="s">
        <v>933</v>
      </c>
      <c r="C19" s="11" t="s">
        <v>999</v>
      </c>
      <c r="D19" s="7" t="s">
        <v>106</v>
      </c>
      <c r="E19" s="7" t="s">
        <v>247</v>
      </c>
      <c r="F19" s="7" t="s">
        <v>105</v>
      </c>
      <c r="G19" s="13">
        <f>1457*190/1000</f>
        <v>276.83</v>
      </c>
      <c r="H19" s="6">
        <v>1.6</v>
      </c>
      <c r="I19" s="6">
        <v>8.1999999999999993</v>
      </c>
      <c r="J19" s="6"/>
      <c r="K19" s="7"/>
      <c r="N19" s="19"/>
      <c r="O19" s="32" t="s">
        <v>939</v>
      </c>
      <c r="P19" s="19"/>
      <c r="Q19" s="33"/>
    </row>
    <row r="20" spans="1:17" x14ac:dyDescent="0.3">
      <c r="A20" s="7">
        <v>1.915</v>
      </c>
      <c r="B20" s="7" t="s">
        <v>933</v>
      </c>
      <c r="C20" s="11" t="s">
        <v>439</v>
      </c>
      <c r="D20" s="7" t="s">
        <v>438</v>
      </c>
      <c r="E20" s="7" t="s">
        <v>437</v>
      </c>
      <c r="F20" s="7" t="s">
        <v>436</v>
      </c>
      <c r="G20" s="13">
        <v>272.60000000000002</v>
      </c>
      <c r="H20" s="6">
        <v>1.7150000000000001</v>
      </c>
      <c r="I20" s="6">
        <v>8.8930000000000007</v>
      </c>
      <c r="J20" s="6"/>
      <c r="K20" s="7"/>
      <c r="N20" s="31" t="s">
        <v>1119</v>
      </c>
      <c r="O20" s="32" t="s">
        <v>951</v>
      </c>
      <c r="P20" s="19"/>
      <c r="Q20" s="33"/>
    </row>
    <row r="21" spans="1:17" x14ac:dyDescent="0.3">
      <c r="A21" s="7">
        <v>1.83</v>
      </c>
      <c r="B21" s="7" t="s">
        <v>933</v>
      </c>
      <c r="C21" s="11" t="s">
        <v>662</v>
      </c>
      <c r="D21" s="7" t="s">
        <v>138</v>
      </c>
      <c r="E21" s="7" t="s">
        <v>123</v>
      </c>
      <c r="F21" s="7" t="s">
        <v>99</v>
      </c>
      <c r="G21" s="13">
        <v>93.9</v>
      </c>
      <c r="H21" s="6">
        <v>1.56</v>
      </c>
      <c r="I21" s="6">
        <v>7.35</v>
      </c>
      <c r="J21" s="6"/>
      <c r="K21" s="7"/>
      <c r="N21" s="31" t="s">
        <v>1305</v>
      </c>
      <c r="O21" s="32" t="s">
        <v>1180</v>
      </c>
      <c r="P21" s="19"/>
      <c r="Q21" s="33"/>
    </row>
    <row r="22" spans="1:17" x14ac:dyDescent="0.3">
      <c r="A22" s="7">
        <v>1.819</v>
      </c>
      <c r="B22" s="7" t="s">
        <v>957</v>
      </c>
      <c r="C22" s="11" t="s">
        <v>385</v>
      </c>
      <c r="D22" s="7" t="s">
        <v>384</v>
      </c>
      <c r="E22" s="7" t="s">
        <v>66</v>
      </c>
      <c r="F22" s="7" t="s">
        <v>99</v>
      </c>
      <c r="G22" s="13">
        <v>73</v>
      </c>
      <c r="H22" s="6">
        <v>1.752</v>
      </c>
      <c r="I22" s="6">
        <v>7.71</v>
      </c>
      <c r="J22" s="6"/>
      <c r="K22" s="7"/>
      <c r="N22" s="31" t="s">
        <v>1053</v>
      </c>
      <c r="O22" s="32" t="s">
        <v>1123</v>
      </c>
      <c r="P22" s="19"/>
      <c r="Q22" s="33"/>
    </row>
    <row r="23" spans="1:17" x14ac:dyDescent="0.3">
      <c r="A23" s="7">
        <v>1.36</v>
      </c>
      <c r="B23" s="7" t="s">
        <v>938</v>
      </c>
      <c r="C23" s="11" t="s">
        <v>609</v>
      </c>
      <c r="D23" s="7" t="s">
        <v>606</v>
      </c>
      <c r="E23" s="7" t="s">
        <v>608</v>
      </c>
      <c r="F23" s="7" t="s">
        <v>607</v>
      </c>
      <c r="G23" s="13">
        <v>-149.4</v>
      </c>
      <c r="H23" s="6">
        <v>1.36</v>
      </c>
      <c r="I23" s="6">
        <v>7.3</v>
      </c>
      <c r="J23" s="6"/>
      <c r="K23" s="7"/>
      <c r="L23" s="2">
        <v>1.3640000000000001</v>
      </c>
      <c r="M23" s="2">
        <v>1160</v>
      </c>
      <c r="N23" s="19"/>
      <c r="O23" s="32" t="s">
        <v>1181</v>
      </c>
      <c r="P23" s="19"/>
      <c r="Q23" s="33" t="s">
        <v>952</v>
      </c>
    </row>
    <row r="24" spans="1:17" x14ac:dyDescent="0.3">
      <c r="A24" s="7">
        <v>1.48</v>
      </c>
      <c r="B24" s="7" t="s">
        <v>935</v>
      </c>
      <c r="C24" s="11" t="s">
        <v>266</v>
      </c>
      <c r="D24" s="7" t="s">
        <v>267</v>
      </c>
      <c r="E24" s="7" t="s">
        <v>260</v>
      </c>
      <c r="F24" s="7" t="s">
        <v>265</v>
      </c>
      <c r="G24" s="8">
        <v>-243</v>
      </c>
      <c r="H24" s="6">
        <v>1.48</v>
      </c>
      <c r="I24" s="6">
        <v>7.4</v>
      </c>
      <c r="J24" s="6"/>
      <c r="K24" s="9"/>
      <c r="L24" s="2">
        <v>1.48</v>
      </c>
      <c r="M24" s="2">
        <v>1578</v>
      </c>
      <c r="N24" s="31"/>
      <c r="O24" s="32" t="s">
        <v>1182</v>
      </c>
      <c r="P24" s="19"/>
      <c r="Q24" s="33" t="s">
        <v>945</v>
      </c>
    </row>
    <row r="25" spans="1:17" x14ac:dyDescent="0.3">
      <c r="A25" s="7">
        <v>1.885</v>
      </c>
      <c r="B25" s="7"/>
      <c r="C25" s="11" t="s">
        <v>485</v>
      </c>
      <c r="D25" s="7" t="s">
        <v>484</v>
      </c>
      <c r="E25" s="7" t="s">
        <v>31</v>
      </c>
      <c r="F25" s="7" t="s">
        <v>486</v>
      </c>
      <c r="G25" s="13">
        <v>-109</v>
      </c>
      <c r="H25" s="6">
        <v>1.8680000000000001</v>
      </c>
      <c r="I25" s="6">
        <v>8.69</v>
      </c>
      <c r="J25" s="6">
        <v>1.7789999999999999</v>
      </c>
      <c r="K25" s="7">
        <v>31.1</v>
      </c>
      <c r="L25" s="2">
        <v>1.81</v>
      </c>
      <c r="M25" s="2">
        <v>1090</v>
      </c>
      <c r="N25" s="31" t="s">
        <v>1053</v>
      </c>
      <c r="O25" s="32" t="s">
        <v>1183</v>
      </c>
      <c r="P25" s="31" t="s">
        <v>1307</v>
      </c>
      <c r="Q25" s="33" t="s">
        <v>1333</v>
      </c>
    </row>
    <row r="26" spans="1:17" x14ac:dyDescent="0.3">
      <c r="A26" s="7">
        <v>1.86</v>
      </c>
      <c r="B26" s="7" t="s">
        <v>957</v>
      </c>
      <c r="C26" s="11" t="s">
        <v>539</v>
      </c>
      <c r="D26" s="7" t="s">
        <v>959</v>
      </c>
      <c r="E26" s="7" t="s">
        <v>116</v>
      </c>
      <c r="F26" s="7" t="s">
        <v>540</v>
      </c>
      <c r="G26" s="13">
        <f>39*4.184</f>
        <v>163.17600000000002</v>
      </c>
      <c r="H26" s="6">
        <v>1.81</v>
      </c>
      <c r="I26" s="6">
        <v>8.26</v>
      </c>
      <c r="J26" s="6">
        <v>1.81</v>
      </c>
      <c r="K26" s="7">
        <v>30.1</v>
      </c>
      <c r="N26" s="19"/>
      <c r="O26" s="32" t="s">
        <v>1184</v>
      </c>
      <c r="P26" s="31" t="s">
        <v>1184</v>
      </c>
      <c r="Q26" s="33"/>
    </row>
    <row r="27" spans="1:17" x14ac:dyDescent="0.3">
      <c r="A27" s="7">
        <v>1.6319999999999999</v>
      </c>
      <c r="B27" s="7" t="s">
        <v>933</v>
      </c>
      <c r="C27" s="11" t="s">
        <v>801</v>
      </c>
      <c r="D27" s="7" t="s">
        <v>798</v>
      </c>
      <c r="E27" s="7" t="s">
        <v>799</v>
      </c>
      <c r="F27" s="7" t="s">
        <v>800</v>
      </c>
      <c r="G27" s="13">
        <f>0.6*4.184</f>
        <v>2.5104000000000002</v>
      </c>
      <c r="H27" s="6">
        <v>1.58</v>
      </c>
      <c r="I27" s="6">
        <v>7.8680000000000003</v>
      </c>
      <c r="J27" s="6"/>
      <c r="K27" s="7"/>
      <c r="L27" s="2">
        <v>1.5740000000000001</v>
      </c>
      <c r="M27" s="2">
        <v>1044</v>
      </c>
      <c r="N27" s="31" t="s">
        <v>1083</v>
      </c>
      <c r="O27" s="32" t="s">
        <v>1083</v>
      </c>
      <c r="P27" s="19"/>
      <c r="Q27" s="33" t="s">
        <v>941</v>
      </c>
    </row>
    <row r="28" spans="1:17" x14ac:dyDescent="0.3">
      <c r="A28" s="7">
        <v>1.1100000000000001</v>
      </c>
      <c r="B28" s="7" t="s">
        <v>935</v>
      </c>
      <c r="C28" s="11" t="s">
        <v>288</v>
      </c>
      <c r="D28" s="7" t="s">
        <v>285</v>
      </c>
      <c r="E28" s="7" t="s">
        <v>286</v>
      </c>
      <c r="F28" s="7" t="s">
        <v>287</v>
      </c>
      <c r="G28" s="8">
        <v>-154</v>
      </c>
      <c r="H28" s="6">
        <v>1.1000000000000001</v>
      </c>
      <c r="I28" s="6">
        <v>6.01</v>
      </c>
      <c r="J28" s="6"/>
      <c r="K28" s="9"/>
      <c r="N28" s="31"/>
      <c r="O28" s="32" t="s">
        <v>1185</v>
      </c>
      <c r="P28" s="19"/>
      <c r="Q28" s="33"/>
    </row>
    <row r="29" spans="1:17" x14ac:dyDescent="0.3">
      <c r="A29" s="7">
        <v>1.71</v>
      </c>
      <c r="B29" s="7" t="s">
        <v>937</v>
      </c>
      <c r="C29" s="11" t="s">
        <v>305</v>
      </c>
      <c r="D29" s="7" t="s">
        <v>304</v>
      </c>
      <c r="E29" s="7" t="s">
        <v>146</v>
      </c>
      <c r="F29" s="7" t="s">
        <v>306</v>
      </c>
      <c r="G29" s="13">
        <v>-103.4</v>
      </c>
      <c r="H29" s="6">
        <v>1.71</v>
      </c>
      <c r="I29" s="6">
        <v>8.23</v>
      </c>
      <c r="J29" s="6"/>
      <c r="K29" s="7"/>
      <c r="L29" s="2">
        <v>1.71</v>
      </c>
      <c r="M29" s="2">
        <v>1100</v>
      </c>
      <c r="N29" s="19"/>
      <c r="O29" s="32" t="s">
        <v>1186</v>
      </c>
      <c r="P29" s="19"/>
      <c r="Q29" s="33" t="s">
        <v>945</v>
      </c>
    </row>
    <row r="30" spans="1:17" x14ac:dyDescent="0.3">
      <c r="A30" s="7">
        <v>1.62</v>
      </c>
      <c r="B30" s="7" t="s">
        <v>933</v>
      </c>
      <c r="C30" s="11" t="s">
        <v>774</v>
      </c>
      <c r="D30" s="7" t="s">
        <v>772</v>
      </c>
      <c r="E30" s="7" t="s">
        <v>773</v>
      </c>
      <c r="F30" s="7" t="s">
        <v>771</v>
      </c>
      <c r="G30" s="13">
        <v>-465</v>
      </c>
      <c r="H30" s="6">
        <v>1.59</v>
      </c>
      <c r="I30" s="6">
        <v>7.9</v>
      </c>
      <c r="J30" s="6"/>
      <c r="K30" s="7"/>
      <c r="N30" s="19"/>
      <c r="O30" s="32" t="s">
        <v>944</v>
      </c>
      <c r="P30" s="19"/>
      <c r="Q30" s="33"/>
    </row>
    <row r="31" spans="1:17" x14ac:dyDescent="0.3">
      <c r="A31" s="7">
        <v>1.75</v>
      </c>
      <c r="B31" s="7" t="s">
        <v>933</v>
      </c>
      <c r="C31" s="11" t="s">
        <v>685</v>
      </c>
      <c r="D31" s="7" t="s">
        <v>684</v>
      </c>
      <c r="E31" s="7" t="s">
        <v>110</v>
      </c>
      <c r="F31" s="7" t="s">
        <v>645</v>
      </c>
      <c r="G31" s="13">
        <f>-85*4.184</f>
        <v>-355.64</v>
      </c>
      <c r="H31" s="6">
        <v>1.66</v>
      </c>
      <c r="I31" s="6">
        <v>7.87</v>
      </c>
      <c r="J31" s="6"/>
      <c r="K31" s="7"/>
      <c r="N31" s="19"/>
      <c r="O31" s="32" t="s">
        <v>1187</v>
      </c>
      <c r="P31" s="19"/>
      <c r="Q31" s="33"/>
    </row>
    <row r="32" spans="1:17" x14ac:dyDescent="0.3">
      <c r="A32" s="7">
        <v>1.89</v>
      </c>
      <c r="B32" s="7" t="s">
        <v>933</v>
      </c>
      <c r="C32" s="11" t="s">
        <v>776</v>
      </c>
      <c r="D32" s="7" t="s">
        <v>558</v>
      </c>
      <c r="E32" s="7" t="s">
        <v>557</v>
      </c>
      <c r="F32" s="7" t="s">
        <v>775</v>
      </c>
      <c r="G32" s="13"/>
      <c r="H32" s="6">
        <v>1.8</v>
      </c>
      <c r="I32" s="6">
        <v>9</v>
      </c>
      <c r="J32" s="6"/>
      <c r="K32" s="7"/>
      <c r="N32" s="19"/>
      <c r="O32" s="32" t="s">
        <v>1113</v>
      </c>
      <c r="P32" s="19"/>
      <c r="Q32" s="33"/>
    </row>
    <row r="33" spans="1:17" x14ac:dyDescent="0.3">
      <c r="A33" s="7">
        <v>1.635</v>
      </c>
      <c r="B33" s="7" t="s">
        <v>933</v>
      </c>
      <c r="C33" s="11" t="s">
        <v>917</v>
      </c>
      <c r="D33" s="7" t="s">
        <v>915</v>
      </c>
      <c r="E33" s="11" t="s">
        <v>914</v>
      </c>
      <c r="F33" s="7" t="s">
        <v>916</v>
      </c>
      <c r="G33" s="13">
        <v>156</v>
      </c>
      <c r="H33" s="6">
        <v>1</v>
      </c>
      <c r="I33" s="6">
        <v>3.32</v>
      </c>
      <c r="J33" s="6"/>
      <c r="K33" s="7"/>
      <c r="M33" s="2">
        <v>658</v>
      </c>
      <c r="N33" s="31" t="s">
        <v>1188</v>
      </c>
      <c r="O33" s="32" t="s">
        <v>1188</v>
      </c>
      <c r="P33" s="19"/>
      <c r="Q33" s="33" t="s">
        <v>1052</v>
      </c>
    </row>
    <row r="34" spans="1:17" x14ac:dyDescent="0.3">
      <c r="A34" s="7">
        <v>1.81</v>
      </c>
      <c r="B34" s="7" t="s">
        <v>933</v>
      </c>
      <c r="C34" s="11" t="s">
        <v>770</v>
      </c>
      <c r="D34" s="7" t="s">
        <v>527</v>
      </c>
      <c r="E34" s="7" t="s">
        <v>529</v>
      </c>
      <c r="F34" s="7" t="s">
        <v>528</v>
      </c>
      <c r="G34" s="13">
        <v>295</v>
      </c>
      <c r="H34" s="6">
        <v>0.69899999999999995</v>
      </c>
      <c r="I34" s="6">
        <v>4.3840000000000003</v>
      </c>
      <c r="J34" s="6"/>
      <c r="K34" s="7"/>
      <c r="N34" s="31" t="s">
        <v>1095</v>
      </c>
      <c r="O34" s="32" t="s">
        <v>1095</v>
      </c>
      <c r="P34" s="19"/>
      <c r="Q34" s="33"/>
    </row>
    <row r="35" spans="1:17" x14ac:dyDescent="0.3">
      <c r="A35" s="7">
        <v>1.877</v>
      </c>
      <c r="B35" s="7"/>
      <c r="C35" s="11" t="s">
        <v>161</v>
      </c>
      <c r="D35" s="7" t="s">
        <v>960</v>
      </c>
      <c r="E35" s="7" t="s">
        <v>155</v>
      </c>
      <c r="F35" s="7" t="s">
        <v>160</v>
      </c>
      <c r="G35" s="8">
        <v>194.1</v>
      </c>
      <c r="H35" s="6">
        <v>1.877</v>
      </c>
      <c r="I35" s="6">
        <v>9.2870000000000008</v>
      </c>
      <c r="J35" s="6"/>
      <c r="K35" s="7"/>
      <c r="N35" s="31" t="s">
        <v>1126</v>
      </c>
      <c r="O35" s="32" t="s">
        <v>1189</v>
      </c>
      <c r="P35" s="19"/>
      <c r="Q35" s="33"/>
    </row>
    <row r="36" spans="1:17" x14ac:dyDescent="0.3">
      <c r="A36" s="7">
        <v>1.603</v>
      </c>
      <c r="B36" s="7" t="s">
        <v>937</v>
      </c>
      <c r="C36" s="11" t="s">
        <v>369</v>
      </c>
      <c r="D36" s="7" t="s">
        <v>368</v>
      </c>
      <c r="E36" s="7" t="s">
        <v>150</v>
      </c>
      <c r="F36" s="7" t="s">
        <v>361</v>
      </c>
      <c r="G36" s="13">
        <v>-653</v>
      </c>
      <c r="H36" s="6">
        <v>1.6</v>
      </c>
      <c r="I36" s="6">
        <v>7.69</v>
      </c>
      <c r="J36" s="6">
        <v>1.56</v>
      </c>
      <c r="K36" s="7">
        <v>21</v>
      </c>
      <c r="L36" s="2">
        <v>1.524</v>
      </c>
      <c r="M36" s="2">
        <v>991</v>
      </c>
      <c r="N36" s="31" t="s">
        <v>1306</v>
      </c>
      <c r="O36" s="32" t="s">
        <v>1190</v>
      </c>
      <c r="P36" s="31" t="s">
        <v>962</v>
      </c>
      <c r="Q36" s="33" t="s">
        <v>1334</v>
      </c>
    </row>
    <row r="37" spans="1:17" x14ac:dyDescent="0.3">
      <c r="A37" s="7">
        <v>1.77</v>
      </c>
      <c r="B37" s="7"/>
      <c r="C37" s="11" t="s">
        <v>488</v>
      </c>
      <c r="D37" s="7" t="s">
        <v>487</v>
      </c>
      <c r="E37" s="7" t="s">
        <v>98</v>
      </c>
      <c r="F37" s="7" t="s">
        <v>489</v>
      </c>
      <c r="G37" s="13">
        <v>25</v>
      </c>
      <c r="H37" s="6">
        <v>1.76</v>
      </c>
      <c r="I37" s="6">
        <v>8.1300000000000008</v>
      </c>
      <c r="J37" s="6"/>
      <c r="K37" s="7"/>
      <c r="N37" s="31" t="s">
        <v>1053</v>
      </c>
      <c r="O37" s="32" t="s">
        <v>1191</v>
      </c>
      <c r="P37" s="19"/>
      <c r="Q37" s="33"/>
    </row>
    <row r="38" spans="1:17" x14ac:dyDescent="0.3">
      <c r="A38" s="7">
        <v>1.776</v>
      </c>
      <c r="B38" s="7"/>
      <c r="C38" s="11" t="s">
        <v>511</v>
      </c>
      <c r="D38" s="7" t="s">
        <v>71</v>
      </c>
      <c r="E38" s="7" t="s">
        <v>32</v>
      </c>
      <c r="F38" s="7" t="s">
        <v>72</v>
      </c>
      <c r="G38" s="13">
        <v>96.5</v>
      </c>
      <c r="H38" s="6">
        <v>1.75</v>
      </c>
      <c r="I38" s="6">
        <v>8.1039999999999992</v>
      </c>
      <c r="J38" s="6">
        <v>1.75</v>
      </c>
      <c r="K38" s="7">
        <v>30.2</v>
      </c>
      <c r="N38" s="31" t="s">
        <v>1053</v>
      </c>
      <c r="O38" s="32" t="s">
        <v>1192</v>
      </c>
      <c r="P38" s="31" t="s">
        <v>1194</v>
      </c>
      <c r="Q38" s="33"/>
    </row>
    <row r="39" spans="1:17" x14ac:dyDescent="0.3">
      <c r="A39" s="7">
        <v>1.7729999999999999</v>
      </c>
      <c r="B39" s="7" t="s">
        <v>933</v>
      </c>
      <c r="C39" s="11" t="s">
        <v>565</v>
      </c>
      <c r="D39" s="7" t="s">
        <v>563</v>
      </c>
      <c r="E39" s="7" t="s">
        <v>566</v>
      </c>
      <c r="F39" s="7" t="s">
        <v>76</v>
      </c>
      <c r="G39" s="13">
        <v>344</v>
      </c>
      <c r="H39" s="6">
        <v>1.7729999999999999</v>
      </c>
      <c r="I39" s="6">
        <v>7.9820000000000002</v>
      </c>
      <c r="J39" s="6"/>
      <c r="K39" s="7"/>
      <c r="N39" s="31" t="s">
        <v>1106</v>
      </c>
      <c r="O39" s="32" t="s">
        <v>1193</v>
      </c>
      <c r="P39" s="19"/>
      <c r="Q39" s="33"/>
    </row>
    <row r="40" spans="1:17" x14ac:dyDescent="0.3">
      <c r="A40" s="7">
        <v>1.66</v>
      </c>
      <c r="B40" s="7" t="s">
        <v>933</v>
      </c>
      <c r="C40" s="11" t="s">
        <v>604</v>
      </c>
      <c r="D40" s="7" t="s">
        <v>605</v>
      </c>
      <c r="E40" s="7" t="s">
        <v>603</v>
      </c>
      <c r="F40" s="7" t="s">
        <v>602</v>
      </c>
      <c r="G40" s="13">
        <v>101.6</v>
      </c>
      <c r="H40" s="6">
        <v>1.6</v>
      </c>
      <c r="I40" s="6">
        <v>7.45</v>
      </c>
      <c r="J40" s="6"/>
      <c r="K40" s="7"/>
      <c r="N40" s="31" t="s">
        <v>1053</v>
      </c>
      <c r="O40" s="32" t="s">
        <v>1085</v>
      </c>
      <c r="P40" s="19"/>
      <c r="Q40" s="33"/>
    </row>
    <row r="41" spans="1:17" x14ac:dyDescent="0.3">
      <c r="A41" s="7">
        <v>1.671</v>
      </c>
      <c r="B41" s="7" t="s">
        <v>933</v>
      </c>
      <c r="C41" s="11" t="s">
        <v>530</v>
      </c>
      <c r="D41" s="7" t="s">
        <v>73</v>
      </c>
      <c r="E41" s="7" t="s">
        <v>74</v>
      </c>
      <c r="F41" s="7" t="s">
        <v>75</v>
      </c>
      <c r="G41" s="13">
        <v>114</v>
      </c>
      <c r="H41" s="6">
        <v>1.67</v>
      </c>
      <c r="I41" s="6">
        <v>7.85</v>
      </c>
      <c r="J41" s="6">
        <v>1.67</v>
      </c>
      <c r="K41" s="7">
        <v>24.8</v>
      </c>
      <c r="N41" s="19"/>
      <c r="O41" s="32" t="s">
        <v>1194</v>
      </c>
      <c r="P41" s="31" t="s">
        <v>1194</v>
      </c>
      <c r="Q41" s="33"/>
    </row>
    <row r="42" spans="1:17" x14ac:dyDescent="0.3">
      <c r="A42" s="7">
        <v>1.9</v>
      </c>
      <c r="B42" s="7" t="s">
        <v>933</v>
      </c>
      <c r="C42" s="11" t="s">
        <v>820</v>
      </c>
      <c r="D42" s="7" t="s">
        <v>819</v>
      </c>
      <c r="E42" s="7" t="s">
        <v>814</v>
      </c>
      <c r="F42" s="7" t="s">
        <v>75</v>
      </c>
      <c r="G42" s="13">
        <f>-0.2*4.184</f>
        <v>-0.8368000000000001</v>
      </c>
      <c r="H42" s="6">
        <v>1.722</v>
      </c>
      <c r="I42" s="6">
        <v>8.1300000000000008</v>
      </c>
      <c r="J42" s="6">
        <v>1.722</v>
      </c>
      <c r="K42" s="7">
        <v>28.9</v>
      </c>
      <c r="N42" s="19"/>
      <c r="O42" s="32" t="s">
        <v>1057</v>
      </c>
      <c r="P42" s="31" t="s">
        <v>1057</v>
      </c>
      <c r="Q42" s="33"/>
    </row>
    <row r="43" spans="1:17" x14ac:dyDescent="0.3">
      <c r="A43" s="7"/>
      <c r="B43" s="7" t="s">
        <v>933</v>
      </c>
      <c r="C43" s="11" t="s">
        <v>716</v>
      </c>
      <c r="D43" s="7" t="s">
        <v>713</v>
      </c>
      <c r="E43" s="7" t="s">
        <v>714</v>
      </c>
      <c r="F43" s="7" t="s">
        <v>715</v>
      </c>
      <c r="G43" s="13">
        <f>1420*128/1000</f>
        <v>181.76</v>
      </c>
      <c r="H43" s="6">
        <v>1.48</v>
      </c>
      <c r="I43" s="6">
        <v>6.9</v>
      </c>
      <c r="J43" s="6"/>
      <c r="K43" s="7"/>
      <c r="N43" s="31" t="s">
        <v>1107</v>
      </c>
      <c r="O43" s="32" t="s">
        <v>1195</v>
      </c>
      <c r="P43" s="19"/>
      <c r="Q43" s="33"/>
    </row>
    <row r="44" spans="1:17" x14ac:dyDescent="0.3">
      <c r="A44" s="7">
        <v>1.84</v>
      </c>
      <c r="B44" s="7"/>
      <c r="C44" s="11" t="s">
        <v>379</v>
      </c>
      <c r="D44" s="7" t="s">
        <v>378</v>
      </c>
      <c r="E44" s="7" t="s">
        <v>57</v>
      </c>
      <c r="F44" s="7" t="s">
        <v>58</v>
      </c>
      <c r="G44" s="13">
        <v>26</v>
      </c>
      <c r="H44" s="6">
        <v>1.83</v>
      </c>
      <c r="I44" s="6">
        <v>8.68</v>
      </c>
      <c r="J44" s="6">
        <v>1.84</v>
      </c>
      <c r="K44" s="7">
        <v>33.5</v>
      </c>
      <c r="N44" s="19"/>
      <c r="O44" s="32" t="s">
        <v>1196</v>
      </c>
      <c r="P44" s="31" t="s">
        <v>954</v>
      </c>
      <c r="Q44" s="33"/>
    </row>
    <row r="45" spans="1:17" x14ac:dyDescent="0.3">
      <c r="A45" s="7">
        <v>1.9319999999999999</v>
      </c>
      <c r="B45" s="7" t="s">
        <v>955</v>
      </c>
      <c r="C45" s="11" t="s">
        <v>621</v>
      </c>
      <c r="D45" s="7" t="s">
        <v>620</v>
      </c>
      <c r="E45" s="7" t="s">
        <v>91</v>
      </c>
      <c r="F45" s="7" t="s">
        <v>447</v>
      </c>
      <c r="G45" s="13">
        <v>-43</v>
      </c>
      <c r="H45" s="6">
        <v>1.857</v>
      </c>
      <c r="I45" s="16">
        <v>8.8140000000000001</v>
      </c>
      <c r="J45" s="16"/>
      <c r="K45" s="7"/>
      <c r="L45" s="2">
        <v>1.587</v>
      </c>
      <c r="M45" s="2">
        <v>1325</v>
      </c>
      <c r="N45" s="19"/>
      <c r="O45" s="32" t="s">
        <v>1109</v>
      </c>
      <c r="P45" s="19"/>
      <c r="Q45" s="33" t="s">
        <v>1332</v>
      </c>
    </row>
    <row r="46" spans="1:17" x14ac:dyDescent="0.3">
      <c r="A46" s="7">
        <v>1.93</v>
      </c>
      <c r="B46" s="7" t="s">
        <v>933</v>
      </c>
      <c r="C46" s="11" t="s">
        <v>1001</v>
      </c>
      <c r="D46" s="7" t="s">
        <v>1000</v>
      </c>
      <c r="E46" s="7" t="s">
        <v>448</v>
      </c>
      <c r="F46" s="7" t="s">
        <v>447</v>
      </c>
      <c r="G46" s="13"/>
      <c r="H46" s="6">
        <v>1.83</v>
      </c>
      <c r="I46" s="6">
        <v>9.02</v>
      </c>
      <c r="J46" s="6"/>
      <c r="K46" s="7"/>
      <c r="N46" s="19"/>
      <c r="O46" s="32" t="s">
        <v>951</v>
      </c>
      <c r="P46" s="19"/>
      <c r="Q46" s="33"/>
    </row>
    <row r="47" spans="1:17" x14ac:dyDescent="0.3">
      <c r="A47" s="7">
        <v>1.95</v>
      </c>
      <c r="B47" s="7" t="s">
        <v>933</v>
      </c>
      <c r="C47" s="11" t="s">
        <v>1002</v>
      </c>
      <c r="D47" s="7" t="s">
        <v>1003</v>
      </c>
      <c r="E47" s="7" t="s">
        <v>446</v>
      </c>
      <c r="F47" s="7" t="s">
        <v>445</v>
      </c>
      <c r="G47" s="13"/>
      <c r="H47" s="6">
        <v>1.8</v>
      </c>
      <c r="I47" s="6">
        <v>9</v>
      </c>
      <c r="J47" s="6"/>
      <c r="K47" s="7"/>
      <c r="N47" s="19"/>
      <c r="O47" s="32" t="s">
        <v>951</v>
      </c>
      <c r="P47" s="19"/>
      <c r="Q47" s="33"/>
    </row>
    <row r="48" spans="1:17" x14ac:dyDescent="0.3">
      <c r="A48" s="7">
        <v>1.1100000000000001</v>
      </c>
      <c r="B48" s="7" t="s">
        <v>938</v>
      </c>
      <c r="C48" s="11" t="s">
        <v>778</v>
      </c>
      <c r="D48" s="7" t="s">
        <v>784</v>
      </c>
      <c r="E48" s="7" t="s">
        <v>783</v>
      </c>
      <c r="F48" s="7" t="s">
        <v>777</v>
      </c>
      <c r="G48" s="13">
        <v>-89.7</v>
      </c>
      <c r="H48" s="6">
        <v>1.1100000000000001</v>
      </c>
      <c r="I48" s="6">
        <v>5.8730000000000002</v>
      </c>
      <c r="J48" s="6"/>
      <c r="K48" s="7"/>
      <c r="N48" s="31" t="s">
        <v>1056</v>
      </c>
      <c r="O48" s="32" t="s">
        <v>940</v>
      </c>
      <c r="P48" s="19"/>
      <c r="Q48" s="33"/>
    </row>
    <row r="49" spans="1:17" x14ac:dyDescent="0.3">
      <c r="A49" s="7">
        <v>1.33</v>
      </c>
      <c r="B49" s="7" t="s">
        <v>938</v>
      </c>
      <c r="C49" s="11" t="s">
        <v>284</v>
      </c>
      <c r="D49" s="7" t="s">
        <v>281</v>
      </c>
      <c r="E49" s="7" t="s">
        <v>282</v>
      </c>
      <c r="F49" s="7" t="s">
        <v>283</v>
      </c>
      <c r="G49" s="8">
        <v>-219.2</v>
      </c>
      <c r="H49" s="6">
        <v>1.33</v>
      </c>
      <c r="I49" s="6">
        <v>6.3</v>
      </c>
      <c r="J49" s="6"/>
      <c r="K49" s="9"/>
      <c r="N49" s="31"/>
      <c r="O49" s="32" t="s">
        <v>958</v>
      </c>
      <c r="P49" s="19"/>
      <c r="Q49" s="33"/>
    </row>
    <row r="50" spans="1:17" x14ac:dyDescent="0.3">
      <c r="A50" s="7">
        <v>1.595</v>
      </c>
      <c r="B50" s="7" t="s">
        <v>935</v>
      </c>
      <c r="C50" s="11" t="s">
        <v>152</v>
      </c>
      <c r="D50" s="7" t="s">
        <v>153</v>
      </c>
      <c r="E50" s="7" t="s">
        <v>28</v>
      </c>
      <c r="F50" s="7" t="s">
        <v>27</v>
      </c>
      <c r="G50" s="13">
        <v>-370</v>
      </c>
      <c r="H50" s="6">
        <v>1.6</v>
      </c>
      <c r="I50" s="6">
        <v>7.7</v>
      </c>
      <c r="J50" s="6">
        <v>1.6</v>
      </c>
      <c r="K50" s="7">
        <v>25.3</v>
      </c>
      <c r="L50" s="2">
        <v>1.3</v>
      </c>
      <c r="M50" s="2">
        <v>1478</v>
      </c>
      <c r="N50" s="19"/>
      <c r="O50" s="32" t="s">
        <v>1197</v>
      </c>
      <c r="P50" s="31" t="s">
        <v>1316</v>
      </c>
      <c r="Q50" s="33" t="s">
        <v>1335</v>
      </c>
    </row>
    <row r="51" spans="1:17" x14ac:dyDescent="0.3">
      <c r="A51" s="7">
        <v>1.8</v>
      </c>
      <c r="B51" s="7"/>
      <c r="C51" s="11" t="s">
        <v>1004</v>
      </c>
      <c r="D51" s="7" t="s">
        <v>451</v>
      </c>
      <c r="E51" s="7" t="s">
        <v>450</v>
      </c>
      <c r="F51" s="7" t="s">
        <v>449</v>
      </c>
      <c r="G51" s="8">
        <v>-33</v>
      </c>
      <c r="H51" s="6">
        <v>1.7869999999999999</v>
      </c>
      <c r="I51" s="6">
        <v>8.7319999999999993</v>
      </c>
      <c r="J51" s="6"/>
      <c r="K51" s="9"/>
      <c r="N51" s="31" t="s">
        <v>950</v>
      </c>
      <c r="O51" s="32" t="s">
        <v>1198</v>
      </c>
      <c r="P51" s="19"/>
      <c r="Q51" s="33"/>
    </row>
    <row r="52" spans="1:17" x14ac:dyDescent="0.3">
      <c r="A52" s="7">
        <v>1.395</v>
      </c>
      <c r="B52" s="7" t="s">
        <v>935</v>
      </c>
      <c r="C52" s="11" t="s">
        <v>271</v>
      </c>
      <c r="D52" s="7" t="s">
        <v>262</v>
      </c>
      <c r="E52" s="7" t="s">
        <v>264</v>
      </c>
      <c r="F52" s="7" t="s">
        <v>272</v>
      </c>
      <c r="G52" s="8">
        <v>-326</v>
      </c>
      <c r="H52" s="6">
        <v>1.38</v>
      </c>
      <c r="I52" s="6">
        <v>6.96</v>
      </c>
      <c r="J52" s="6"/>
      <c r="K52" s="9"/>
      <c r="N52" s="31"/>
      <c r="O52" s="32" t="s">
        <v>1199</v>
      </c>
      <c r="P52" s="19"/>
      <c r="Q52" s="33"/>
    </row>
    <row r="53" spans="1:17" x14ac:dyDescent="0.3">
      <c r="A53" s="7">
        <v>1.5169999999999999</v>
      </c>
      <c r="B53" s="7" t="s">
        <v>938</v>
      </c>
      <c r="C53" s="11" t="s">
        <v>793</v>
      </c>
      <c r="D53" s="7" t="s">
        <v>277</v>
      </c>
      <c r="E53" s="7" t="s">
        <v>278</v>
      </c>
      <c r="F53" s="7" t="s">
        <v>279</v>
      </c>
      <c r="G53" s="8">
        <v>-472.4</v>
      </c>
      <c r="H53" s="6">
        <v>1.51</v>
      </c>
      <c r="I53" s="6">
        <v>7.4</v>
      </c>
      <c r="J53" s="6"/>
      <c r="K53" s="9"/>
      <c r="L53" s="2">
        <v>1.51</v>
      </c>
      <c r="M53" s="2">
        <v>1201</v>
      </c>
      <c r="N53" s="31"/>
      <c r="O53" s="32" t="s">
        <v>958</v>
      </c>
      <c r="P53" s="19"/>
      <c r="Q53" s="33" t="s">
        <v>945</v>
      </c>
    </row>
    <row r="54" spans="1:17" x14ac:dyDescent="0.3">
      <c r="A54" s="7">
        <v>1.68</v>
      </c>
      <c r="B54" s="7" t="s">
        <v>933</v>
      </c>
      <c r="C54" s="11" t="s">
        <v>435</v>
      </c>
      <c r="D54" s="7" t="s">
        <v>432</v>
      </c>
      <c r="E54" s="7" t="s">
        <v>434</v>
      </c>
      <c r="F54" s="7" t="s">
        <v>433</v>
      </c>
      <c r="G54" s="8">
        <v>-1.7</v>
      </c>
      <c r="H54" s="6">
        <v>1.6220000000000001</v>
      </c>
      <c r="I54" s="6">
        <v>7.7320000000000002</v>
      </c>
      <c r="J54" s="6"/>
      <c r="K54" s="9"/>
      <c r="N54" s="31"/>
      <c r="O54" s="32" t="s">
        <v>951</v>
      </c>
      <c r="P54" s="19"/>
      <c r="Q54" s="33"/>
    </row>
    <row r="55" spans="1:17" x14ac:dyDescent="0.3">
      <c r="A55" s="7">
        <v>1.7989999999999999</v>
      </c>
      <c r="B55" s="7" t="s">
        <v>933</v>
      </c>
      <c r="C55" s="11" t="s">
        <v>792</v>
      </c>
      <c r="D55" s="7" t="s">
        <v>526</v>
      </c>
      <c r="E55" s="7" t="s">
        <v>524</v>
      </c>
      <c r="F55" s="7" t="s">
        <v>525</v>
      </c>
      <c r="G55" s="13">
        <v>-310</v>
      </c>
      <c r="H55" s="6">
        <v>1</v>
      </c>
      <c r="I55" s="6">
        <v>5.4050000000000002</v>
      </c>
      <c r="J55" s="6"/>
      <c r="K55" s="7"/>
      <c r="N55" s="31" t="s">
        <v>1200</v>
      </c>
      <c r="O55" s="32" t="s">
        <v>1200</v>
      </c>
      <c r="P55" s="19"/>
      <c r="Q55" s="33"/>
    </row>
    <row r="56" spans="1:17" x14ac:dyDescent="0.3">
      <c r="A56" s="7">
        <v>1.585</v>
      </c>
      <c r="B56" s="7"/>
      <c r="C56" s="11" t="s">
        <v>330</v>
      </c>
      <c r="D56" s="7" t="s">
        <v>329</v>
      </c>
      <c r="E56" s="7" t="s">
        <v>328</v>
      </c>
      <c r="F56" s="7" t="s">
        <v>327</v>
      </c>
      <c r="G56" s="13">
        <v>286</v>
      </c>
      <c r="H56" s="6">
        <v>1.585</v>
      </c>
      <c r="I56" s="6">
        <v>7.95</v>
      </c>
      <c r="J56" s="6"/>
      <c r="K56" s="7"/>
      <c r="L56" s="2">
        <v>1.51</v>
      </c>
      <c r="M56" s="2">
        <v>1200</v>
      </c>
      <c r="N56" s="19"/>
      <c r="O56" s="32" t="s">
        <v>1201</v>
      </c>
      <c r="P56" s="19"/>
      <c r="Q56" s="33" t="s">
        <v>952</v>
      </c>
    </row>
    <row r="57" spans="1:17" x14ac:dyDescent="0.3">
      <c r="A57" s="7">
        <v>1.806</v>
      </c>
      <c r="B57" s="7"/>
      <c r="C57" s="11" t="s">
        <v>207</v>
      </c>
      <c r="D57" s="7" t="s">
        <v>208</v>
      </c>
      <c r="E57" s="7" t="s">
        <v>0</v>
      </c>
      <c r="F57" s="7" t="s">
        <v>25</v>
      </c>
      <c r="G57" s="13">
        <v>67.5</v>
      </c>
      <c r="H57" s="6">
        <v>1.8</v>
      </c>
      <c r="I57" s="6">
        <v>8.75</v>
      </c>
      <c r="J57" s="6">
        <v>1.8</v>
      </c>
      <c r="K57" s="7">
        <v>34.1</v>
      </c>
      <c r="L57" s="2">
        <v>1.76</v>
      </c>
      <c r="M57" s="2">
        <v>1341</v>
      </c>
      <c r="N57" s="31" t="s">
        <v>1053</v>
      </c>
      <c r="O57" s="32" t="s">
        <v>1202</v>
      </c>
      <c r="P57" s="31" t="s">
        <v>1317</v>
      </c>
      <c r="Q57" s="33" t="s">
        <v>1336</v>
      </c>
    </row>
    <row r="58" spans="1:17" x14ac:dyDescent="0.3">
      <c r="A58" s="7">
        <v>1.804</v>
      </c>
      <c r="B58" s="7" t="s">
        <v>933</v>
      </c>
      <c r="C58" s="11" t="s">
        <v>1005</v>
      </c>
      <c r="D58" s="7" t="s">
        <v>807</v>
      </c>
      <c r="E58" s="7" t="s">
        <v>805</v>
      </c>
      <c r="F58" s="7" t="s">
        <v>806</v>
      </c>
      <c r="G58" s="13">
        <v>261</v>
      </c>
      <c r="H58" s="6">
        <v>1.6988000000000001</v>
      </c>
      <c r="I58" s="6">
        <v>5.9988999999999999</v>
      </c>
      <c r="J58" s="6"/>
      <c r="K58" s="7"/>
      <c r="N58" s="31" t="s">
        <v>1307</v>
      </c>
      <c r="O58" s="32" t="s">
        <v>1127</v>
      </c>
      <c r="P58" s="19"/>
      <c r="Q58" s="33"/>
    </row>
    <row r="59" spans="1:17" x14ac:dyDescent="0.3">
      <c r="A59" s="7">
        <v>1.04</v>
      </c>
      <c r="B59" s="7" t="s">
        <v>935</v>
      </c>
      <c r="C59" s="11" t="s">
        <v>297</v>
      </c>
      <c r="D59" s="7" t="s">
        <v>295</v>
      </c>
      <c r="E59" s="7" t="s">
        <v>263</v>
      </c>
      <c r="F59" s="7" t="s">
        <v>296</v>
      </c>
      <c r="G59" s="8">
        <v>-229.7</v>
      </c>
      <c r="H59" s="6">
        <v>1.04</v>
      </c>
      <c r="I59" s="6">
        <v>5.6</v>
      </c>
      <c r="J59" s="6"/>
      <c r="K59" s="9"/>
      <c r="N59" s="31"/>
      <c r="O59" s="32" t="s">
        <v>1203</v>
      </c>
      <c r="P59" s="19"/>
      <c r="Q59" s="33"/>
    </row>
    <row r="60" spans="1:17" x14ac:dyDescent="0.3">
      <c r="A60" s="7">
        <v>1.49</v>
      </c>
      <c r="B60" s="7" t="s">
        <v>933</v>
      </c>
      <c r="C60" s="11" t="s">
        <v>593</v>
      </c>
      <c r="D60" s="7" t="s">
        <v>592</v>
      </c>
      <c r="E60" s="7" t="s">
        <v>594</v>
      </c>
      <c r="F60" s="7" t="s">
        <v>591</v>
      </c>
      <c r="G60" s="8">
        <v>-54</v>
      </c>
      <c r="H60" s="6">
        <v>1.49</v>
      </c>
      <c r="I60" s="6">
        <v>7.44</v>
      </c>
      <c r="J60" s="6">
        <v>1.39</v>
      </c>
      <c r="K60" s="9">
        <v>17</v>
      </c>
      <c r="M60" s="2">
        <v>888</v>
      </c>
      <c r="N60" s="31" t="s">
        <v>1053</v>
      </c>
      <c r="O60" s="32" t="s">
        <v>1204</v>
      </c>
      <c r="P60" s="31" t="s">
        <v>1318</v>
      </c>
      <c r="Q60" s="33" t="s">
        <v>1337</v>
      </c>
    </row>
    <row r="61" spans="1:17" x14ac:dyDescent="0.3">
      <c r="A61" s="7">
        <v>1.736</v>
      </c>
      <c r="B61" s="7" t="s">
        <v>933</v>
      </c>
      <c r="C61" s="11" t="s">
        <v>822</v>
      </c>
      <c r="D61" s="7" t="s">
        <v>823</v>
      </c>
      <c r="E61" s="7" t="s">
        <v>813</v>
      </c>
      <c r="F61" s="7" t="s">
        <v>821</v>
      </c>
      <c r="G61" s="13">
        <f>46.3*4.184</f>
        <v>193.7192</v>
      </c>
      <c r="H61" s="6">
        <v>1.64</v>
      </c>
      <c r="I61" s="6">
        <v>7.7569999999999997</v>
      </c>
      <c r="J61" s="6">
        <v>1.64</v>
      </c>
      <c r="K61" s="7">
        <v>23.8</v>
      </c>
      <c r="N61" s="19"/>
      <c r="O61" s="32" t="s">
        <v>1057</v>
      </c>
      <c r="P61" s="31" t="s">
        <v>1057</v>
      </c>
      <c r="Q61" s="33"/>
    </row>
    <row r="62" spans="1:17" x14ac:dyDescent="0.3">
      <c r="A62" s="7">
        <v>1.82</v>
      </c>
      <c r="B62" s="7" t="s">
        <v>933</v>
      </c>
      <c r="C62" s="11" t="s">
        <v>1006</v>
      </c>
      <c r="D62" s="7" t="s">
        <v>670</v>
      </c>
      <c r="E62" s="7" t="s">
        <v>671</v>
      </c>
      <c r="F62" s="7" t="s">
        <v>672</v>
      </c>
      <c r="G62" s="13">
        <f>515.6*226.1/1000</f>
        <v>116.57716000000001</v>
      </c>
      <c r="H62" s="6">
        <v>1.57</v>
      </c>
      <c r="I62" s="6">
        <v>7.7670000000000003</v>
      </c>
      <c r="J62" s="6"/>
      <c r="K62" s="7"/>
      <c r="N62" s="31" t="s">
        <v>1205</v>
      </c>
      <c r="O62" s="32" t="s">
        <v>1205</v>
      </c>
      <c r="P62" s="19"/>
      <c r="Q62" s="33"/>
    </row>
    <row r="63" spans="1:17" ht="15.6" customHeight="1" x14ac:dyDescent="0.3">
      <c r="A63" s="7">
        <v>2.02</v>
      </c>
      <c r="B63" s="7"/>
      <c r="C63" s="11" t="s">
        <v>353</v>
      </c>
      <c r="D63" s="7" t="s">
        <v>44</v>
      </c>
      <c r="E63" s="7" t="s">
        <v>45</v>
      </c>
      <c r="F63" s="7" t="s">
        <v>48</v>
      </c>
      <c r="G63" s="13">
        <v>15.9</v>
      </c>
      <c r="H63" s="6">
        <v>1.95</v>
      </c>
      <c r="I63" s="6">
        <v>9.15</v>
      </c>
      <c r="J63" s="6">
        <v>2</v>
      </c>
      <c r="K63" s="7">
        <v>39.700000000000003</v>
      </c>
      <c r="L63" s="2">
        <v>1.51</v>
      </c>
      <c r="M63" s="2">
        <v>1200</v>
      </c>
      <c r="N63" s="19"/>
      <c r="O63" s="32" t="s">
        <v>1206</v>
      </c>
      <c r="P63" s="31" t="s">
        <v>1223</v>
      </c>
      <c r="Q63" s="33" t="s">
        <v>1332</v>
      </c>
    </row>
    <row r="64" spans="1:17" x14ac:dyDescent="0.3">
      <c r="A64" s="7">
        <v>1.88</v>
      </c>
      <c r="B64" s="7" t="s">
        <v>933</v>
      </c>
      <c r="C64" s="11" t="s">
        <v>641</v>
      </c>
      <c r="D64" s="7" t="s">
        <v>640</v>
      </c>
      <c r="E64" s="7" t="s">
        <v>632</v>
      </c>
      <c r="F64" s="7" t="s">
        <v>633</v>
      </c>
      <c r="G64" s="13">
        <f>97.4*4.184</f>
        <v>407.52160000000003</v>
      </c>
      <c r="H64" s="6">
        <v>1.67</v>
      </c>
      <c r="I64" s="6">
        <v>7.95</v>
      </c>
      <c r="J64" s="6">
        <v>1.67</v>
      </c>
      <c r="K64" s="7">
        <v>28.7</v>
      </c>
      <c r="N64" s="31" t="s">
        <v>1133</v>
      </c>
      <c r="O64" s="32" t="s">
        <v>1133</v>
      </c>
      <c r="P64" s="31" t="s">
        <v>1133</v>
      </c>
      <c r="Q64" s="33"/>
    </row>
    <row r="65" spans="1:17" x14ac:dyDescent="0.3">
      <c r="A65" s="7">
        <v>1.42</v>
      </c>
      <c r="B65" s="7" t="s">
        <v>938</v>
      </c>
      <c r="C65" s="11" t="s">
        <v>613</v>
      </c>
      <c r="D65" s="7" t="s">
        <v>610</v>
      </c>
      <c r="E65" s="7" t="s">
        <v>614</v>
      </c>
      <c r="F65" s="7" t="s">
        <v>611</v>
      </c>
      <c r="G65" s="13">
        <v>26.8</v>
      </c>
      <c r="H65" s="6">
        <v>1.42</v>
      </c>
      <c r="I65" s="6">
        <v>7.1</v>
      </c>
      <c r="J65" s="6"/>
      <c r="K65" s="7"/>
      <c r="N65" s="19"/>
      <c r="O65" s="32" t="s">
        <v>1181</v>
      </c>
      <c r="P65" s="19"/>
      <c r="Q65" s="33"/>
    </row>
    <row r="66" spans="1:17" x14ac:dyDescent="0.3">
      <c r="A66" s="7">
        <v>1.9179999999999999</v>
      </c>
      <c r="B66" s="7" t="s">
        <v>937</v>
      </c>
      <c r="C66" s="11" t="s">
        <v>492</v>
      </c>
      <c r="D66" s="7" t="s">
        <v>491</v>
      </c>
      <c r="E66" s="7" t="s">
        <v>104</v>
      </c>
      <c r="F66" s="7" t="s">
        <v>490</v>
      </c>
      <c r="G66" s="13">
        <v>-18</v>
      </c>
      <c r="H66" s="6">
        <v>1.9179999999999999</v>
      </c>
      <c r="I66" s="6">
        <v>8.73</v>
      </c>
      <c r="J66" s="6">
        <v>1.88</v>
      </c>
      <c r="K66" s="7">
        <v>32</v>
      </c>
      <c r="N66" s="31" t="s">
        <v>1053</v>
      </c>
      <c r="O66" s="32" t="s">
        <v>1207</v>
      </c>
      <c r="P66" s="31" t="s">
        <v>1319</v>
      </c>
      <c r="Q66" s="33"/>
    </row>
    <row r="67" spans="1:17" x14ac:dyDescent="0.3">
      <c r="A67" s="7">
        <v>1.98</v>
      </c>
      <c r="B67" s="7" t="s">
        <v>937</v>
      </c>
      <c r="C67" s="11" t="s">
        <v>357</v>
      </c>
      <c r="D67" s="7" t="s">
        <v>358</v>
      </c>
      <c r="E67" s="7" t="s">
        <v>46</v>
      </c>
      <c r="F67" s="7" t="s">
        <v>47</v>
      </c>
      <c r="G67" s="13">
        <f>-42.3*4.184</f>
        <v>-176.98319999999998</v>
      </c>
      <c r="H67" s="6">
        <v>1.94</v>
      </c>
      <c r="I67" s="6">
        <v>8.15</v>
      </c>
      <c r="J67" s="6"/>
      <c r="K67" s="7"/>
      <c r="N67" s="19"/>
      <c r="O67" s="32" t="s">
        <v>1208</v>
      </c>
      <c r="P67" s="19"/>
      <c r="Q67" s="33"/>
    </row>
    <row r="68" spans="1:17" x14ac:dyDescent="0.3">
      <c r="A68" s="7">
        <v>1.72</v>
      </c>
      <c r="B68" s="7" t="s">
        <v>933</v>
      </c>
      <c r="C68" s="11" t="s">
        <v>534</v>
      </c>
      <c r="D68" s="7" t="s">
        <v>535</v>
      </c>
      <c r="E68" s="7" t="s">
        <v>96</v>
      </c>
      <c r="F68" s="7" t="s">
        <v>533</v>
      </c>
      <c r="G68" s="13">
        <v>557</v>
      </c>
      <c r="H68" s="6">
        <v>1.6</v>
      </c>
      <c r="I68" s="6">
        <v>7.42</v>
      </c>
      <c r="J68" s="6">
        <v>1.65</v>
      </c>
      <c r="K68" s="7">
        <v>26.2</v>
      </c>
      <c r="N68" s="31" t="s">
        <v>1053</v>
      </c>
      <c r="O68" s="32" t="s">
        <v>1209</v>
      </c>
      <c r="P68" s="31" t="s">
        <v>961</v>
      </c>
      <c r="Q68" s="33"/>
    </row>
    <row r="69" spans="1:17" x14ac:dyDescent="0.3">
      <c r="A69" s="7">
        <v>1.7470000000000001</v>
      </c>
      <c r="B69" s="7"/>
      <c r="C69" s="11" t="s">
        <v>389</v>
      </c>
      <c r="D69" s="7" t="s">
        <v>388</v>
      </c>
      <c r="E69" s="7" t="s">
        <v>68</v>
      </c>
      <c r="F69" s="7" t="s">
        <v>95</v>
      </c>
      <c r="G69" s="13">
        <v>499</v>
      </c>
      <c r="H69" s="6">
        <v>1.6930000000000001</v>
      </c>
      <c r="I69" s="6">
        <v>8.01</v>
      </c>
      <c r="J69" s="6">
        <v>1.69</v>
      </c>
      <c r="K69" s="7">
        <v>29.9</v>
      </c>
      <c r="N69" s="31" t="s">
        <v>1053</v>
      </c>
      <c r="O69" s="32" t="s">
        <v>1210</v>
      </c>
      <c r="P69" s="31" t="s">
        <v>1320</v>
      </c>
      <c r="Q69" s="33"/>
    </row>
    <row r="70" spans="1:17" x14ac:dyDescent="0.3">
      <c r="A70" s="7">
        <v>1.837</v>
      </c>
      <c r="B70" s="7" t="s">
        <v>933</v>
      </c>
      <c r="C70" s="11" t="s">
        <v>567</v>
      </c>
      <c r="D70" s="7" t="s">
        <v>564</v>
      </c>
      <c r="E70" s="7" t="s">
        <v>568</v>
      </c>
      <c r="F70" s="7" t="s">
        <v>77</v>
      </c>
      <c r="G70" s="13"/>
      <c r="H70" s="6">
        <v>1.837</v>
      </c>
      <c r="I70" s="6">
        <v>8.5299999999999994</v>
      </c>
      <c r="J70" s="6"/>
      <c r="K70" s="7"/>
      <c r="N70" s="19"/>
      <c r="O70" s="32" t="s">
        <v>1193</v>
      </c>
      <c r="P70" s="19"/>
      <c r="Q70" s="33"/>
    </row>
    <row r="71" spans="1:17" x14ac:dyDescent="0.3">
      <c r="A71" s="7">
        <v>1.84</v>
      </c>
      <c r="B71" s="7" t="s">
        <v>933</v>
      </c>
      <c r="C71" s="11" t="s">
        <v>1007</v>
      </c>
      <c r="D71" s="7" t="s">
        <v>460</v>
      </c>
      <c r="E71" s="7" t="s">
        <v>462</v>
      </c>
      <c r="F71" s="7" t="s">
        <v>461</v>
      </c>
      <c r="G71" s="13">
        <v>336</v>
      </c>
      <c r="H71" s="6">
        <v>1.708</v>
      </c>
      <c r="I71" s="6">
        <v>8.49</v>
      </c>
      <c r="J71" s="6"/>
      <c r="K71" s="7"/>
      <c r="N71" s="31" t="s">
        <v>967</v>
      </c>
      <c r="O71" s="32" t="s">
        <v>951</v>
      </c>
      <c r="P71" s="19"/>
      <c r="Q71" s="33"/>
    </row>
    <row r="72" spans="1:17" x14ac:dyDescent="0.3">
      <c r="A72" s="7">
        <v>1.99</v>
      </c>
      <c r="B72" s="7"/>
      <c r="C72" s="11" t="s">
        <v>431</v>
      </c>
      <c r="D72" s="7" t="s">
        <v>430</v>
      </c>
      <c r="E72" s="7" t="s">
        <v>109</v>
      </c>
      <c r="F72" s="7" t="s">
        <v>429</v>
      </c>
      <c r="G72" s="13">
        <v>52</v>
      </c>
      <c r="H72" s="6">
        <v>1.86</v>
      </c>
      <c r="I72" s="6">
        <v>9.0500000000000007</v>
      </c>
      <c r="J72" s="6"/>
      <c r="K72" s="7"/>
      <c r="N72" s="19"/>
      <c r="O72" s="32" t="s">
        <v>1211</v>
      </c>
      <c r="P72" s="19"/>
      <c r="Q72" s="33"/>
    </row>
    <row r="73" spans="1:17" x14ac:dyDescent="0.3">
      <c r="A73" s="7">
        <v>1.96</v>
      </c>
      <c r="B73" s="7" t="s">
        <v>937</v>
      </c>
      <c r="C73" s="11" t="s">
        <v>310</v>
      </c>
      <c r="D73" s="7" t="s">
        <v>311</v>
      </c>
      <c r="E73" s="7" t="s">
        <v>142</v>
      </c>
      <c r="F73" s="7" t="s">
        <v>309</v>
      </c>
      <c r="G73" s="13">
        <v>-27.6</v>
      </c>
      <c r="H73" s="6">
        <v>1.86</v>
      </c>
      <c r="I73" s="6">
        <v>8.8000000000000007</v>
      </c>
      <c r="J73" s="6">
        <v>1.82</v>
      </c>
      <c r="K73" s="7">
        <v>31.9</v>
      </c>
      <c r="L73" s="2">
        <v>1.6</v>
      </c>
      <c r="M73" s="2">
        <v>1250</v>
      </c>
      <c r="N73" s="19"/>
      <c r="O73" s="32" t="s">
        <v>1212</v>
      </c>
      <c r="P73" s="31" t="s">
        <v>954</v>
      </c>
      <c r="Q73" s="33" t="s">
        <v>952</v>
      </c>
    </row>
    <row r="74" spans="1:17" x14ac:dyDescent="0.3">
      <c r="A74" s="7">
        <v>1.53</v>
      </c>
      <c r="B74" s="7"/>
      <c r="C74" s="11" t="s">
        <v>367</v>
      </c>
      <c r="D74" s="7" t="s">
        <v>365</v>
      </c>
      <c r="E74" s="7" t="s">
        <v>366</v>
      </c>
      <c r="F74" s="7" t="s">
        <v>360</v>
      </c>
      <c r="G74" s="13">
        <f>-305.5</f>
        <v>-305.5</v>
      </c>
      <c r="H74" s="6">
        <v>1.48</v>
      </c>
      <c r="I74" s="6">
        <v>7.1</v>
      </c>
      <c r="J74" s="6"/>
      <c r="K74" s="7"/>
      <c r="N74" s="19"/>
      <c r="O74" s="32" t="s">
        <v>1213</v>
      </c>
      <c r="P74" s="19"/>
      <c r="Q74" s="33"/>
    </row>
    <row r="75" spans="1:17" x14ac:dyDescent="0.3">
      <c r="A75" s="7">
        <v>1.64</v>
      </c>
      <c r="B75" s="7" t="s">
        <v>935</v>
      </c>
      <c r="C75" s="11" t="s">
        <v>290</v>
      </c>
      <c r="D75" s="7" t="s">
        <v>289</v>
      </c>
      <c r="E75" s="7" t="s">
        <v>148</v>
      </c>
      <c r="F75" s="7" t="s">
        <v>291</v>
      </c>
      <c r="G75" s="8">
        <v>-226</v>
      </c>
      <c r="H75" s="6">
        <v>1.64</v>
      </c>
      <c r="I75" s="6">
        <v>7.86</v>
      </c>
      <c r="J75" s="6"/>
      <c r="K75" s="9"/>
      <c r="N75" s="31"/>
      <c r="O75" s="32" t="s">
        <v>1214</v>
      </c>
      <c r="P75" s="19"/>
      <c r="Q75" s="33"/>
    </row>
    <row r="76" spans="1:17" x14ac:dyDescent="0.3">
      <c r="A76" s="7">
        <v>1.79</v>
      </c>
      <c r="B76" s="7"/>
      <c r="C76" s="11" t="s">
        <v>635</v>
      </c>
      <c r="D76" s="7" t="s">
        <v>636</v>
      </c>
      <c r="E76" s="7" t="s">
        <v>627</v>
      </c>
      <c r="F76" s="7" t="s">
        <v>634</v>
      </c>
      <c r="G76" s="8">
        <v>-496</v>
      </c>
      <c r="H76" s="6">
        <v>1.704</v>
      </c>
      <c r="I76" s="6">
        <v>7.9939999999999998</v>
      </c>
      <c r="J76" s="6"/>
      <c r="K76" s="9"/>
      <c r="L76" s="2">
        <v>1.79</v>
      </c>
      <c r="M76" s="2">
        <v>1414</v>
      </c>
      <c r="N76" s="31" t="s">
        <v>946</v>
      </c>
      <c r="O76" s="32" t="s">
        <v>1215</v>
      </c>
      <c r="P76" s="19"/>
      <c r="Q76" s="33" t="s">
        <v>945</v>
      </c>
    </row>
    <row r="77" spans="1:17" x14ac:dyDescent="0.3">
      <c r="A77" s="7">
        <v>1.82</v>
      </c>
      <c r="B77" s="7"/>
      <c r="C77" s="11" t="s">
        <v>443</v>
      </c>
      <c r="D77" s="7" t="s">
        <v>442</v>
      </c>
      <c r="E77" s="7" t="s">
        <v>65</v>
      </c>
      <c r="F77" s="7" t="s">
        <v>444</v>
      </c>
      <c r="G77" s="13">
        <v>-0.2</v>
      </c>
      <c r="H77" s="6">
        <v>1.7849999999999999</v>
      </c>
      <c r="I77" s="6">
        <v>8.8520000000000003</v>
      </c>
      <c r="J77" s="6"/>
      <c r="K77" s="7"/>
      <c r="N77" s="19"/>
      <c r="O77" s="32" t="s">
        <v>1216</v>
      </c>
      <c r="P77" s="19"/>
      <c r="Q77" s="33"/>
    </row>
    <row r="78" spans="1:17" x14ac:dyDescent="0.3">
      <c r="A78" s="7"/>
      <c r="B78" s="7" t="s">
        <v>933</v>
      </c>
      <c r="C78" s="11" t="s">
        <v>825</v>
      </c>
      <c r="D78" s="7" t="s">
        <v>459</v>
      </c>
      <c r="E78" s="7" t="s">
        <v>454</v>
      </c>
      <c r="F78" s="7" t="s">
        <v>458</v>
      </c>
      <c r="G78" s="13">
        <v>-98.3</v>
      </c>
      <c r="H78" s="6">
        <v>1.8049999999999999</v>
      </c>
      <c r="I78" s="6">
        <v>8.74</v>
      </c>
      <c r="J78" s="6">
        <v>1.819</v>
      </c>
      <c r="K78" s="7">
        <v>36.4</v>
      </c>
      <c r="N78" s="19"/>
      <c r="O78" s="32" t="s">
        <v>951</v>
      </c>
      <c r="P78" s="31" t="s">
        <v>951</v>
      </c>
      <c r="Q78" s="33"/>
    </row>
    <row r="79" spans="1:17" x14ac:dyDescent="0.3">
      <c r="A79" s="7"/>
      <c r="B79" s="7" t="s">
        <v>933</v>
      </c>
      <c r="C79" s="11" t="s">
        <v>710</v>
      </c>
      <c r="D79" s="7" t="s">
        <v>703</v>
      </c>
      <c r="E79" s="7" t="s">
        <v>709</v>
      </c>
      <c r="F79" s="7" t="s">
        <v>704</v>
      </c>
      <c r="G79" s="13"/>
      <c r="H79" s="6">
        <v>1.34</v>
      </c>
      <c r="I79" s="6">
        <v>8.07</v>
      </c>
      <c r="J79" s="6"/>
      <c r="K79" s="7"/>
      <c r="N79" s="19"/>
      <c r="O79" s="32" t="s">
        <v>1217</v>
      </c>
      <c r="P79" s="19"/>
      <c r="Q79" s="33"/>
    </row>
    <row r="80" spans="1:17" x14ac:dyDescent="0.3">
      <c r="A80" s="7">
        <v>1.87</v>
      </c>
      <c r="B80" s="7" t="s">
        <v>937</v>
      </c>
      <c r="C80" s="11" t="s">
        <v>508</v>
      </c>
      <c r="D80" s="7" t="s">
        <v>510</v>
      </c>
      <c r="E80" s="7" t="s">
        <v>82</v>
      </c>
      <c r="F80" s="7" t="s">
        <v>509</v>
      </c>
      <c r="G80" s="13">
        <v>184</v>
      </c>
      <c r="H80" s="6">
        <v>1.87</v>
      </c>
      <c r="I80" s="16">
        <v>9.08</v>
      </c>
      <c r="J80" s="16">
        <v>1.8</v>
      </c>
      <c r="K80" s="7">
        <v>33.9</v>
      </c>
      <c r="N80" s="31" t="s">
        <v>1053</v>
      </c>
      <c r="O80" s="32" t="s">
        <v>1218</v>
      </c>
      <c r="P80" s="31" t="s">
        <v>953</v>
      </c>
      <c r="Q80" s="33"/>
    </row>
    <row r="81" spans="1:17" x14ac:dyDescent="0.3">
      <c r="A81" s="7">
        <v>1.76</v>
      </c>
      <c r="B81" s="7" t="s">
        <v>957</v>
      </c>
      <c r="C81" s="11" t="s">
        <v>546</v>
      </c>
      <c r="D81" s="7" t="s">
        <v>543</v>
      </c>
      <c r="E81" s="7" t="s">
        <v>541</v>
      </c>
      <c r="F81" s="7" t="s">
        <v>545</v>
      </c>
      <c r="G81" s="13">
        <f>93*4.184</f>
        <v>389.11200000000002</v>
      </c>
      <c r="H81" s="6">
        <v>1.7</v>
      </c>
      <c r="I81" s="6">
        <v>7.84</v>
      </c>
      <c r="J81" s="6">
        <v>1.7</v>
      </c>
      <c r="K81" s="7">
        <v>26</v>
      </c>
      <c r="N81" s="31" t="s">
        <v>1114</v>
      </c>
      <c r="O81" s="32" t="s">
        <v>1219</v>
      </c>
      <c r="P81" s="31" t="s">
        <v>1219</v>
      </c>
      <c r="Q81" s="33"/>
    </row>
    <row r="82" spans="1:17" x14ac:dyDescent="0.3">
      <c r="A82" s="7">
        <v>1.7869999999999999</v>
      </c>
      <c r="B82" s="7" t="s">
        <v>933</v>
      </c>
      <c r="C82" s="11" t="s">
        <v>652</v>
      </c>
      <c r="D82" s="7" t="s">
        <v>649</v>
      </c>
      <c r="E82" s="7" t="s">
        <v>650</v>
      </c>
      <c r="F82" s="7" t="s">
        <v>651</v>
      </c>
      <c r="G82" s="13">
        <v>-40.08</v>
      </c>
      <c r="H82" s="6">
        <v>1.73</v>
      </c>
      <c r="I82" s="6">
        <v>8.02</v>
      </c>
      <c r="J82" s="6"/>
      <c r="K82" s="7"/>
      <c r="N82" s="19"/>
      <c r="O82" s="32" t="s">
        <v>1220</v>
      </c>
      <c r="P82" s="19"/>
      <c r="Q82" s="33"/>
    </row>
    <row r="83" spans="1:17" x14ac:dyDescent="0.3">
      <c r="A83" s="7">
        <v>1.71</v>
      </c>
      <c r="B83" s="7" t="s">
        <v>933</v>
      </c>
      <c r="C83" s="11" t="s">
        <v>629</v>
      </c>
      <c r="D83" s="7" t="s">
        <v>630</v>
      </c>
      <c r="E83" s="7" t="s">
        <v>631</v>
      </c>
      <c r="F83" s="7" t="s">
        <v>628</v>
      </c>
      <c r="G83" s="13">
        <v>-67.8</v>
      </c>
      <c r="H83" s="6">
        <v>1.64</v>
      </c>
      <c r="I83" s="6">
        <v>8.1199999999999992</v>
      </c>
      <c r="J83" s="6"/>
      <c r="K83" s="7"/>
      <c r="N83" s="19"/>
      <c r="O83" s="32" t="s">
        <v>950</v>
      </c>
      <c r="P83" s="19"/>
      <c r="Q83" s="33"/>
    </row>
    <row r="84" spans="1:17" x14ac:dyDescent="0.3">
      <c r="A84" s="7">
        <v>1.33</v>
      </c>
      <c r="B84" s="7" t="s">
        <v>938</v>
      </c>
      <c r="C84" s="11" t="s">
        <v>616</v>
      </c>
      <c r="D84" s="7" t="s">
        <v>615</v>
      </c>
      <c r="E84" s="7" t="s">
        <v>612</v>
      </c>
      <c r="F84" s="7" t="s">
        <v>617</v>
      </c>
      <c r="G84" s="13">
        <v>-312.8</v>
      </c>
      <c r="H84" s="6">
        <v>1.31</v>
      </c>
      <c r="I84" s="6">
        <v>6.6</v>
      </c>
      <c r="J84" s="6"/>
      <c r="K84" s="7"/>
      <c r="N84" s="19"/>
      <c r="O84" s="32" t="s">
        <v>1221</v>
      </c>
      <c r="P84" s="19"/>
      <c r="Q84" s="33"/>
    </row>
    <row r="85" spans="1:17" x14ac:dyDescent="0.3">
      <c r="A85" s="7">
        <v>1.39</v>
      </c>
      <c r="B85" s="7" t="s">
        <v>935</v>
      </c>
      <c r="C85" s="11" t="s">
        <v>178</v>
      </c>
      <c r="D85" s="7" t="s">
        <v>177</v>
      </c>
      <c r="E85" s="7" t="s">
        <v>168</v>
      </c>
      <c r="F85" s="7" t="s">
        <v>179</v>
      </c>
      <c r="G85" s="13">
        <v>-419</v>
      </c>
      <c r="H85" s="6">
        <v>1.39</v>
      </c>
      <c r="I85" s="6">
        <v>6.9219999999999997</v>
      </c>
      <c r="J85" s="6"/>
      <c r="K85" s="7"/>
      <c r="L85" s="2">
        <v>1.38</v>
      </c>
      <c r="M85" s="2">
        <v>1065</v>
      </c>
      <c r="N85" s="19"/>
      <c r="O85" s="32" t="s">
        <v>1222</v>
      </c>
      <c r="P85" s="19"/>
      <c r="Q85" s="33" t="s">
        <v>945</v>
      </c>
    </row>
    <row r="86" spans="1:17" x14ac:dyDescent="0.3">
      <c r="A86" s="7">
        <v>1.64</v>
      </c>
      <c r="B86" s="7" t="s">
        <v>933</v>
      </c>
      <c r="C86" s="11" t="s">
        <v>797</v>
      </c>
      <c r="D86" s="7" t="s">
        <v>795</v>
      </c>
      <c r="E86" s="7" t="s">
        <v>796</v>
      </c>
      <c r="F86" s="7" t="s">
        <v>794</v>
      </c>
      <c r="G86" s="13">
        <v>-46.4</v>
      </c>
      <c r="H86" s="6">
        <v>1.64</v>
      </c>
      <c r="I86" s="6">
        <v>7.47</v>
      </c>
      <c r="J86" s="6"/>
      <c r="K86" s="7"/>
      <c r="L86" s="2">
        <v>1.51</v>
      </c>
      <c r="M86" s="2">
        <v>1020</v>
      </c>
      <c r="N86" s="31" t="s">
        <v>1053</v>
      </c>
      <c r="O86" s="32" t="s">
        <v>1223</v>
      </c>
      <c r="P86" s="19"/>
      <c r="Q86" s="33" t="s">
        <v>1338</v>
      </c>
    </row>
    <row r="87" spans="1:17" x14ac:dyDescent="0.3">
      <c r="A87" s="7">
        <v>1.67</v>
      </c>
      <c r="B87" s="7"/>
      <c r="C87" s="11" t="s">
        <v>307</v>
      </c>
      <c r="D87" s="7" t="s">
        <v>308</v>
      </c>
      <c r="E87" s="7" t="s">
        <v>122</v>
      </c>
      <c r="F87" s="7" t="s">
        <v>1142</v>
      </c>
      <c r="G87" s="13">
        <v>-302</v>
      </c>
      <c r="H87" s="6">
        <v>1.62</v>
      </c>
      <c r="I87" s="6">
        <v>7.7130000000000001</v>
      </c>
      <c r="J87" s="6"/>
      <c r="K87" s="7"/>
      <c r="L87" s="2">
        <v>1.55</v>
      </c>
      <c r="M87" s="2">
        <v>1170</v>
      </c>
      <c r="N87" s="19"/>
      <c r="O87" s="32" t="s">
        <v>1224</v>
      </c>
      <c r="P87" s="19"/>
      <c r="Q87" s="33" t="s">
        <v>1339</v>
      </c>
    </row>
    <row r="88" spans="1:17" x14ac:dyDescent="0.3">
      <c r="A88" s="7">
        <v>1.9039999999999999</v>
      </c>
      <c r="B88" s="7"/>
      <c r="C88" s="11" t="s">
        <v>186</v>
      </c>
      <c r="D88" s="7" t="s">
        <v>187</v>
      </c>
      <c r="E88" s="7" t="s">
        <v>1</v>
      </c>
      <c r="F88" s="7" t="s">
        <v>12</v>
      </c>
      <c r="G88" s="13">
        <v>80.8</v>
      </c>
      <c r="H88" s="6">
        <v>1.9</v>
      </c>
      <c r="I88" s="6">
        <v>9.1</v>
      </c>
      <c r="J88" s="6">
        <v>1.9</v>
      </c>
      <c r="K88" s="7">
        <v>39.5</v>
      </c>
      <c r="L88" s="2">
        <v>1.89</v>
      </c>
      <c r="M88" s="2">
        <v>1366</v>
      </c>
      <c r="N88" s="31" t="s">
        <v>1053</v>
      </c>
      <c r="O88" s="32" t="s">
        <v>1225</v>
      </c>
      <c r="P88" s="31" t="s">
        <v>965</v>
      </c>
      <c r="Q88" s="33" t="s">
        <v>1336</v>
      </c>
    </row>
    <row r="89" spans="1:17" x14ac:dyDescent="0.3">
      <c r="A89" s="7">
        <v>1.61</v>
      </c>
      <c r="B89" s="7" t="s">
        <v>933</v>
      </c>
      <c r="C89" s="11" t="s">
        <v>669</v>
      </c>
      <c r="D89" s="7" t="s">
        <v>668</v>
      </c>
      <c r="E89" s="7" t="s">
        <v>121</v>
      </c>
      <c r="F89" s="7" t="s">
        <v>663</v>
      </c>
      <c r="G89" s="13">
        <v>721</v>
      </c>
      <c r="H89" s="6">
        <v>1.51</v>
      </c>
      <c r="I89" s="6">
        <v>7.7729999999999997</v>
      </c>
      <c r="J89" s="6"/>
      <c r="K89" s="7"/>
      <c r="N89" s="19"/>
      <c r="O89" s="32" t="s">
        <v>1180</v>
      </c>
      <c r="P89" s="19"/>
      <c r="Q89" s="33"/>
    </row>
    <row r="90" spans="1:17" x14ac:dyDescent="0.3">
      <c r="A90" s="7">
        <v>1.9</v>
      </c>
      <c r="B90" s="7" t="s">
        <v>933</v>
      </c>
      <c r="C90" s="11" t="s">
        <v>229</v>
      </c>
      <c r="D90" s="7" t="s">
        <v>966</v>
      </c>
      <c r="E90" s="7" t="s">
        <v>156</v>
      </c>
      <c r="F90" s="7" t="s">
        <v>228</v>
      </c>
      <c r="G90" s="8">
        <v>-63</v>
      </c>
      <c r="H90" s="6">
        <v>1.9</v>
      </c>
      <c r="I90" s="6">
        <v>8.86</v>
      </c>
      <c r="J90" s="6"/>
      <c r="K90" s="7"/>
      <c r="N90" s="31"/>
      <c r="O90" s="32" t="s">
        <v>1226</v>
      </c>
      <c r="P90" s="19"/>
      <c r="Q90" s="33"/>
    </row>
    <row r="91" spans="1:17" x14ac:dyDescent="0.3">
      <c r="A91" s="7">
        <v>1.72</v>
      </c>
      <c r="B91" s="7" t="s">
        <v>933</v>
      </c>
      <c r="C91" s="11" t="s">
        <v>482</v>
      </c>
      <c r="D91" s="7" t="s">
        <v>483</v>
      </c>
      <c r="E91" s="7" t="s">
        <v>477</v>
      </c>
      <c r="F91" s="7" t="s">
        <v>481</v>
      </c>
      <c r="G91" s="13">
        <v>654</v>
      </c>
      <c r="H91" s="6">
        <v>1.65</v>
      </c>
      <c r="I91" s="6">
        <v>8.3000000000000007</v>
      </c>
      <c r="J91" s="6"/>
      <c r="K91" s="7"/>
      <c r="N91" s="31" t="s">
        <v>1308</v>
      </c>
      <c r="O91" s="32" t="s">
        <v>951</v>
      </c>
      <c r="P91" s="19"/>
      <c r="Q91" s="33"/>
    </row>
    <row r="92" spans="1:17" x14ac:dyDescent="0.3">
      <c r="A92" s="7">
        <v>1.911</v>
      </c>
      <c r="B92" s="7" t="s">
        <v>933</v>
      </c>
      <c r="C92" s="11" t="s">
        <v>1008</v>
      </c>
      <c r="D92" s="7" t="s">
        <v>522</v>
      </c>
      <c r="E92" s="7" t="s">
        <v>521</v>
      </c>
      <c r="F92" s="7" t="s">
        <v>523</v>
      </c>
      <c r="G92" s="13">
        <v>272.10000000000002</v>
      </c>
      <c r="H92" s="6">
        <v>0.63</v>
      </c>
      <c r="I92" s="6">
        <v>4.8529999999999998</v>
      </c>
      <c r="J92" s="6"/>
      <c r="K92" s="7"/>
      <c r="N92" s="31" t="s">
        <v>1227</v>
      </c>
      <c r="O92" s="32" t="s">
        <v>1227</v>
      </c>
      <c r="P92" s="19"/>
      <c r="Q92" s="33"/>
    </row>
    <row r="93" spans="1:17" x14ac:dyDescent="0.3">
      <c r="A93" s="7">
        <v>1.595</v>
      </c>
      <c r="B93" s="7" t="s">
        <v>933</v>
      </c>
      <c r="C93" s="11" t="s">
        <v>829</v>
      </c>
      <c r="D93" s="7" t="s">
        <v>828</v>
      </c>
      <c r="E93" s="7" t="s">
        <v>827</v>
      </c>
      <c r="F93" s="7" t="s">
        <v>826</v>
      </c>
      <c r="G93" s="13">
        <v>-580</v>
      </c>
      <c r="H93" s="6">
        <v>1.55</v>
      </c>
      <c r="I93" s="6">
        <v>7</v>
      </c>
      <c r="J93" s="6"/>
      <c r="K93" s="7"/>
      <c r="N93" s="19"/>
      <c r="O93" s="32" t="s">
        <v>944</v>
      </c>
      <c r="P93" s="19"/>
      <c r="Q93" s="33"/>
    </row>
    <row r="94" spans="1:17" x14ac:dyDescent="0.3">
      <c r="A94" s="7"/>
      <c r="B94" s="7" t="s">
        <v>933</v>
      </c>
      <c r="C94" s="11" t="s">
        <v>1014</v>
      </c>
      <c r="D94" s="7" t="s">
        <v>707</v>
      </c>
      <c r="E94" s="7" t="s">
        <v>712</v>
      </c>
      <c r="F94" s="7" t="s">
        <v>708</v>
      </c>
      <c r="G94" s="13"/>
      <c r="H94" s="6">
        <v>1.41</v>
      </c>
      <c r="I94" s="6">
        <v>6.89</v>
      </c>
      <c r="J94" s="6"/>
      <c r="K94" s="7"/>
      <c r="N94" s="19"/>
      <c r="O94" s="32" t="s">
        <v>1217</v>
      </c>
      <c r="P94" s="19"/>
      <c r="Q94" s="33"/>
    </row>
    <row r="95" spans="1:17" x14ac:dyDescent="0.3">
      <c r="A95" s="7">
        <v>1.72</v>
      </c>
      <c r="B95" s="7" t="s">
        <v>933</v>
      </c>
      <c r="C95" s="11" t="s">
        <v>1016</v>
      </c>
      <c r="D95" s="7" t="s">
        <v>532</v>
      </c>
      <c r="E95" s="7" t="s">
        <v>549</v>
      </c>
      <c r="F95" s="7" t="s">
        <v>551</v>
      </c>
      <c r="G95" s="13">
        <f>-61*4.184</f>
        <v>-255.22400000000002</v>
      </c>
      <c r="H95" s="6">
        <v>1.6</v>
      </c>
      <c r="I95" s="6">
        <v>7.31</v>
      </c>
      <c r="J95" s="6">
        <v>1.61</v>
      </c>
      <c r="K95" s="7">
        <v>20.7</v>
      </c>
      <c r="N95" s="31" t="s">
        <v>1128</v>
      </c>
      <c r="O95" s="32" t="s">
        <v>1128</v>
      </c>
      <c r="P95" s="31" t="s">
        <v>1128</v>
      </c>
      <c r="Q95" s="33"/>
    </row>
    <row r="96" spans="1:17" x14ac:dyDescent="0.3">
      <c r="A96" s="7"/>
      <c r="B96" s="7" t="s">
        <v>933</v>
      </c>
      <c r="C96" s="11" t="s">
        <v>1015</v>
      </c>
      <c r="D96" s="7" t="s">
        <v>705</v>
      </c>
      <c r="E96" s="7" t="s">
        <v>711</v>
      </c>
      <c r="F96" s="7" t="s">
        <v>706</v>
      </c>
      <c r="G96" s="13"/>
      <c r="H96" s="6">
        <v>1.04</v>
      </c>
      <c r="I96" s="6">
        <v>4.6900000000000004</v>
      </c>
      <c r="J96" s="6"/>
      <c r="K96" s="7"/>
      <c r="N96" s="19"/>
      <c r="O96" s="32" t="s">
        <v>1217</v>
      </c>
      <c r="P96" s="19"/>
      <c r="Q96" s="33"/>
    </row>
    <row r="97" spans="1:17" x14ac:dyDescent="0.3">
      <c r="A97" s="7">
        <v>1.77</v>
      </c>
      <c r="B97" s="7"/>
      <c r="C97" s="11" t="s">
        <v>391</v>
      </c>
      <c r="D97" s="7" t="s">
        <v>390</v>
      </c>
      <c r="E97" s="7" t="s">
        <v>69</v>
      </c>
      <c r="F97" s="7" t="s">
        <v>103</v>
      </c>
      <c r="G97" s="13">
        <v>34.4</v>
      </c>
      <c r="H97" s="6">
        <v>1.66</v>
      </c>
      <c r="I97" s="6">
        <v>7.47</v>
      </c>
      <c r="J97" s="6"/>
      <c r="K97" s="7"/>
      <c r="N97" s="19"/>
      <c r="O97" s="32" t="s">
        <v>969</v>
      </c>
      <c r="P97" s="19"/>
      <c r="Q97" s="33"/>
    </row>
    <row r="98" spans="1:17" x14ac:dyDescent="0.3">
      <c r="A98" s="7">
        <v>1.875</v>
      </c>
      <c r="B98" s="7" t="s">
        <v>933</v>
      </c>
      <c r="C98" s="11" t="s">
        <v>812</v>
      </c>
      <c r="D98" s="7" t="s">
        <v>811</v>
      </c>
      <c r="E98" s="7" t="s">
        <v>809</v>
      </c>
      <c r="F98" s="7" t="s">
        <v>810</v>
      </c>
      <c r="G98" s="13">
        <v>102</v>
      </c>
      <c r="H98" s="6">
        <v>1.72</v>
      </c>
      <c r="I98" s="6">
        <v>7.77</v>
      </c>
      <c r="J98" s="6"/>
      <c r="K98" s="7"/>
      <c r="N98" s="19"/>
      <c r="O98" s="32" t="s">
        <v>964</v>
      </c>
      <c r="P98" s="19"/>
      <c r="Q98" s="33"/>
    </row>
    <row r="99" spans="1:17" x14ac:dyDescent="0.3">
      <c r="A99" s="7">
        <v>1.76</v>
      </c>
      <c r="B99" s="7" t="s">
        <v>933</v>
      </c>
      <c r="C99" s="11" t="s">
        <v>252</v>
      </c>
      <c r="D99" s="7" t="s">
        <v>131</v>
      </c>
      <c r="E99" s="7" t="s">
        <v>127</v>
      </c>
      <c r="F99" s="7" t="s">
        <v>133</v>
      </c>
      <c r="G99" s="13">
        <v>36</v>
      </c>
      <c r="H99" s="6">
        <v>1.67</v>
      </c>
      <c r="I99" s="6">
        <v>6.9729999999999999</v>
      </c>
      <c r="J99" s="6"/>
      <c r="K99" s="7"/>
      <c r="N99" s="19"/>
      <c r="O99" s="32" t="s">
        <v>1180</v>
      </c>
      <c r="P99" s="19"/>
      <c r="Q99" s="33"/>
    </row>
    <row r="100" spans="1:17" x14ac:dyDescent="0.3">
      <c r="A100" s="7">
        <v>1.83</v>
      </c>
      <c r="B100" s="7" t="s">
        <v>933</v>
      </c>
      <c r="C100" s="11" t="s">
        <v>1009</v>
      </c>
      <c r="D100" s="7" t="s">
        <v>132</v>
      </c>
      <c r="E100" s="7" t="s">
        <v>128</v>
      </c>
      <c r="F100" s="7" t="s">
        <v>673</v>
      </c>
      <c r="G100" s="13">
        <v>-190.37</v>
      </c>
      <c r="H100" s="6">
        <v>1.69</v>
      </c>
      <c r="I100" s="6">
        <v>6.9630000000000001</v>
      </c>
      <c r="J100" s="6"/>
      <c r="K100" s="7"/>
      <c r="N100" s="19"/>
      <c r="O100" s="32" t="s">
        <v>1180</v>
      </c>
      <c r="P100" s="19"/>
      <c r="Q100" s="33"/>
    </row>
    <row r="101" spans="1:17" x14ac:dyDescent="0.3">
      <c r="A101" s="7">
        <v>1.85</v>
      </c>
      <c r="B101" s="7" t="s">
        <v>933</v>
      </c>
      <c r="C101" s="11" t="s">
        <v>1010</v>
      </c>
      <c r="D101" s="7" t="s">
        <v>139</v>
      </c>
      <c r="E101" s="7" t="s">
        <v>129</v>
      </c>
      <c r="F101" s="7" t="s">
        <v>673</v>
      </c>
      <c r="G101" s="13">
        <v>-288.39999999999998</v>
      </c>
      <c r="H101" s="6">
        <v>1.72</v>
      </c>
      <c r="I101" s="6">
        <v>6.8129999999999997</v>
      </c>
      <c r="J101" s="6"/>
      <c r="K101" s="7"/>
      <c r="N101" s="19"/>
      <c r="O101" s="32" t="s">
        <v>1180</v>
      </c>
      <c r="P101" s="19"/>
      <c r="Q101" s="33"/>
    </row>
    <row r="102" spans="1:17" x14ac:dyDescent="0.3">
      <c r="A102" s="7">
        <v>1.85</v>
      </c>
      <c r="B102" s="7" t="s">
        <v>933</v>
      </c>
      <c r="C102" s="7" t="s">
        <v>1097</v>
      </c>
      <c r="D102" s="7" t="s">
        <v>1098</v>
      </c>
      <c r="E102" s="7" t="s">
        <v>1099</v>
      </c>
      <c r="F102" s="23" t="s">
        <v>1100</v>
      </c>
      <c r="G102" s="13">
        <v>-629</v>
      </c>
      <c r="H102" s="6">
        <v>1.85</v>
      </c>
      <c r="I102" s="6">
        <v>8.06</v>
      </c>
      <c r="J102" s="6"/>
      <c r="K102" s="7"/>
      <c r="N102" s="31"/>
      <c r="O102" s="32" t="s">
        <v>1120</v>
      </c>
      <c r="P102" s="31"/>
      <c r="Q102" s="33"/>
    </row>
    <row r="103" spans="1:17" x14ac:dyDescent="0.3">
      <c r="A103" s="7">
        <v>1.782</v>
      </c>
      <c r="B103" s="7" t="s">
        <v>933</v>
      </c>
      <c r="C103" s="11" t="s">
        <v>808</v>
      </c>
      <c r="D103" s="7" t="s">
        <v>803</v>
      </c>
      <c r="E103" s="7" t="s">
        <v>802</v>
      </c>
      <c r="F103" s="7" t="s">
        <v>804</v>
      </c>
      <c r="G103" s="13">
        <f>115*4.184</f>
        <v>481.16</v>
      </c>
      <c r="H103" s="6">
        <v>1.7478</v>
      </c>
      <c r="I103" s="6">
        <v>7.6616</v>
      </c>
      <c r="J103" s="6"/>
      <c r="K103" s="7"/>
      <c r="N103" s="31" t="s">
        <v>1307</v>
      </c>
      <c r="O103" s="32" t="s">
        <v>1127</v>
      </c>
      <c r="P103" s="19"/>
      <c r="Q103" s="33"/>
    </row>
    <row r="104" spans="1:17" x14ac:dyDescent="0.3">
      <c r="A104" s="7">
        <v>1.75</v>
      </c>
      <c r="B104" s="7" t="s">
        <v>933</v>
      </c>
      <c r="C104" s="11" t="s">
        <v>675</v>
      </c>
      <c r="D104" s="7" t="s">
        <v>136</v>
      </c>
      <c r="E104" s="7" t="s">
        <v>130</v>
      </c>
      <c r="F104" s="7" t="s">
        <v>674</v>
      </c>
      <c r="G104" s="13">
        <v>-19.66</v>
      </c>
      <c r="H104" s="6">
        <v>1.69</v>
      </c>
      <c r="I104" s="6">
        <v>6.8</v>
      </c>
      <c r="J104" s="6"/>
      <c r="K104" s="7"/>
      <c r="N104" s="19"/>
      <c r="O104" s="32" t="s">
        <v>1180</v>
      </c>
      <c r="P104" s="19"/>
      <c r="Q104" s="33"/>
    </row>
    <row r="105" spans="1:17" x14ac:dyDescent="0.3">
      <c r="A105" s="7">
        <v>1.8779999999999999</v>
      </c>
      <c r="B105" s="7"/>
      <c r="C105" s="11" t="s">
        <v>1011</v>
      </c>
      <c r="D105" s="7" t="s">
        <v>135</v>
      </c>
      <c r="E105" s="7" t="s">
        <v>124</v>
      </c>
      <c r="F105" s="7" t="s">
        <v>253</v>
      </c>
      <c r="G105" s="13">
        <f>-31.6*4.184</f>
        <v>-132.21440000000001</v>
      </c>
      <c r="H105" s="6">
        <v>1.8</v>
      </c>
      <c r="I105" s="6">
        <v>7.3280000000000003</v>
      </c>
      <c r="J105" s="6"/>
      <c r="K105" s="7"/>
      <c r="N105" s="19"/>
      <c r="O105" s="32" t="s">
        <v>1228</v>
      </c>
      <c r="P105" s="19"/>
      <c r="Q105" s="33"/>
    </row>
    <row r="106" spans="1:17" x14ac:dyDescent="0.3">
      <c r="A106" s="7">
        <v>1.73</v>
      </c>
      <c r="B106" s="7" t="s">
        <v>933</v>
      </c>
      <c r="C106" s="11" t="s">
        <v>601</v>
      </c>
      <c r="D106" s="7" t="s">
        <v>600</v>
      </c>
      <c r="E106" s="7" t="s">
        <v>599</v>
      </c>
      <c r="F106" s="7" t="s">
        <v>512</v>
      </c>
      <c r="G106" s="13">
        <v>-403</v>
      </c>
      <c r="H106" s="6">
        <v>1.73</v>
      </c>
      <c r="I106" s="6">
        <v>8.1</v>
      </c>
      <c r="J106" s="6"/>
      <c r="K106" s="7"/>
      <c r="L106" s="2">
        <v>1.72</v>
      </c>
      <c r="M106" s="2">
        <v>1480</v>
      </c>
      <c r="N106" s="19"/>
      <c r="O106" s="32" t="s">
        <v>950</v>
      </c>
      <c r="P106" s="19"/>
      <c r="Q106" s="33" t="s">
        <v>1332</v>
      </c>
    </row>
    <row r="107" spans="1:17" x14ac:dyDescent="0.3">
      <c r="A107" s="7">
        <v>1.86</v>
      </c>
      <c r="B107" s="7" t="s">
        <v>937</v>
      </c>
      <c r="C107" s="11" t="s">
        <v>371</v>
      </c>
      <c r="D107" s="7" t="s">
        <v>370</v>
      </c>
      <c r="E107" s="7" t="s">
        <v>140</v>
      </c>
      <c r="F107" s="7" t="s">
        <v>141</v>
      </c>
      <c r="G107" s="13">
        <v>-321.7</v>
      </c>
      <c r="H107" s="6">
        <v>1.86</v>
      </c>
      <c r="I107" s="6">
        <v>9</v>
      </c>
      <c r="J107" s="6"/>
      <c r="K107" s="7"/>
      <c r="L107" s="2">
        <v>1.86</v>
      </c>
      <c r="M107" s="2">
        <v>1378</v>
      </c>
      <c r="N107" s="19"/>
      <c r="O107" s="32" t="s">
        <v>1229</v>
      </c>
      <c r="P107" s="19"/>
      <c r="Q107" s="33" t="s">
        <v>1332</v>
      </c>
    </row>
    <row r="108" spans="1:17" x14ac:dyDescent="0.3">
      <c r="A108" s="7">
        <v>1.7729999999999999</v>
      </c>
      <c r="B108" s="7"/>
      <c r="C108" s="11" t="s">
        <v>203</v>
      </c>
      <c r="D108" s="7" t="s">
        <v>204</v>
      </c>
      <c r="E108" s="7" t="s">
        <v>3</v>
      </c>
      <c r="F108" s="7" t="s">
        <v>18</v>
      </c>
      <c r="G108" s="13">
        <v>-543</v>
      </c>
      <c r="H108" s="6">
        <v>1.76</v>
      </c>
      <c r="I108" s="6">
        <v>8.27</v>
      </c>
      <c r="J108" s="6">
        <v>1.76</v>
      </c>
      <c r="K108" s="7">
        <v>31.5</v>
      </c>
      <c r="L108" s="2">
        <v>1.73</v>
      </c>
      <c r="M108" s="2">
        <v>1374</v>
      </c>
      <c r="N108" s="19"/>
      <c r="O108" s="32" t="s">
        <v>1230</v>
      </c>
      <c r="P108" s="31" t="s">
        <v>970</v>
      </c>
      <c r="Q108" s="33" t="s">
        <v>1340</v>
      </c>
    </row>
    <row r="109" spans="1:17" x14ac:dyDescent="0.3">
      <c r="A109" s="7">
        <v>1.79</v>
      </c>
      <c r="B109" s="7" t="s">
        <v>933</v>
      </c>
      <c r="C109" s="11" t="s">
        <v>1012</v>
      </c>
      <c r="D109" s="7" t="s">
        <v>648</v>
      </c>
      <c r="E109" s="7" t="s">
        <v>647</v>
      </c>
      <c r="F109" s="7" t="s">
        <v>646</v>
      </c>
      <c r="G109" s="13">
        <v>-131.69999999999999</v>
      </c>
      <c r="H109" s="6">
        <v>1.75</v>
      </c>
      <c r="I109" s="6">
        <v>8.0540000000000003</v>
      </c>
      <c r="J109" s="6"/>
      <c r="K109" s="7"/>
      <c r="N109" s="31"/>
      <c r="O109" s="32" t="s">
        <v>1231</v>
      </c>
      <c r="P109" s="19"/>
      <c r="Q109" s="33"/>
    </row>
    <row r="110" spans="1:17" x14ac:dyDescent="0.3">
      <c r="A110" s="7">
        <v>1.74</v>
      </c>
      <c r="B110" s="7" t="s">
        <v>933</v>
      </c>
      <c r="C110" s="11" t="s">
        <v>654</v>
      </c>
      <c r="D110" s="7" t="s">
        <v>653</v>
      </c>
      <c r="E110" s="7" t="s">
        <v>120</v>
      </c>
      <c r="F110" s="7" t="s">
        <v>1143</v>
      </c>
      <c r="G110" s="13">
        <v>275.5</v>
      </c>
      <c r="H110" s="6">
        <v>1.67</v>
      </c>
      <c r="I110" s="6">
        <v>7.8760000000000003</v>
      </c>
      <c r="J110" s="6"/>
      <c r="K110" s="7"/>
      <c r="N110" s="31"/>
      <c r="O110" s="32" t="s">
        <v>1180</v>
      </c>
      <c r="P110" s="19"/>
      <c r="Q110" s="33"/>
    </row>
    <row r="111" spans="1:17" x14ac:dyDescent="0.3">
      <c r="A111" s="7">
        <v>1.47</v>
      </c>
      <c r="B111" s="7" t="s">
        <v>935</v>
      </c>
      <c r="C111" s="11" t="s">
        <v>375</v>
      </c>
      <c r="D111" s="7" t="s">
        <v>373</v>
      </c>
      <c r="E111" s="7" t="s">
        <v>372</v>
      </c>
      <c r="F111" s="7" t="s">
        <v>374</v>
      </c>
      <c r="G111" s="13">
        <v>-425</v>
      </c>
      <c r="H111" s="6">
        <v>1.46</v>
      </c>
      <c r="I111" s="6">
        <v>7.18</v>
      </c>
      <c r="J111" s="6"/>
      <c r="K111" s="7"/>
      <c r="N111" s="19"/>
      <c r="O111" s="32" t="s">
        <v>1232</v>
      </c>
      <c r="P111" s="19"/>
      <c r="Q111" s="33"/>
    </row>
    <row r="112" spans="1:17" x14ac:dyDescent="0.3">
      <c r="A112" s="7">
        <v>1.554</v>
      </c>
      <c r="B112" s="7" t="s">
        <v>933</v>
      </c>
      <c r="C112" s="11" t="s">
        <v>502</v>
      </c>
      <c r="D112" s="7" t="s">
        <v>503</v>
      </c>
      <c r="E112" s="7" t="s">
        <v>500</v>
      </c>
      <c r="F112" s="7" t="s">
        <v>501</v>
      </c>
      <c r="G112" s="13">
        <f>-2069*271.1/1000</f>
        <v>-560.90589999999997</v>
      </c>
      <c r="H112" s="6">
        <v>1.54</v>
      </c>
      <c r="I112" s="6">
        <v>7.64</v>
      </c>
      <c r="J112" s="6"/>
      <c r="K112" s="7"/>
      <c r="M112" s="2">
        <v>1204</v>
      </c>
      <c r="N112" s="19"/>
      <c r="O112" s="32" t="s">
        <v>1233</v>
      </c>
      <c r="P112" s="19"/>
      <c r="Q112" s="33" t="s">
        <v>1052</v>
      </c>
    </row>
    <row r="113" spans="1:17" x14ac:dyDescent="0.3">
      <c r="A113" s="7">
        <v>1.67</v>
      </c>
      <c r="B113" s="7" t="s">
        <v>933</v>
      </c>
      <c r="C113" s="11" t="s">
        <v>480</v>
      </c>
      <c r="D113" s="7" t="s">
        <v>476</v>
      </c>
      <c r="E113" s="7" t="s">
        <v>475</v>
      </c>
      <c r="F113" s="7" t="s">
        <v>479</v>
      </c>
      <c r="G113" s="13">
        <v>684</v>
      </c>
      <c r="H113" s="6">
        <v>1.5629999999999999</v>
      </c>
      <c r="I113" s="6">
        <v>7.7240000000000002</v>
      </c>
      <c r="J113" s="6"/>
      <c r="K113" s="7"/>
      <c r="N113" s="31"/>
      <c r="O113" s="32" t="s">
        <v>951</v>
      </c>
      <c r="P113" s="19"/>
      <c r="Q113" s="33"/>
    </row>
    <row r="114" spans="1:17" x14ac:dyDescent="0.3">
      <c r="A114" s="7">
        <v>1.8919999999999999</v>
      </c>
      <c r="B114" s="7" t="s">
        <v>933</v>
      </c>
      <c r="C114" s="11" t="s">
        <v>764</v>
      </c>
      <c r="D114" s="7" t="s">
        <v>762</v>
      </c>
      <c r="E114" s="7" t="s">
        <v>763</v>
      </c>
      <c r="F114" s="7" t="s">
        <v>761</v>
      </c>
      <c r="G114" s="13"/>
      <c r="H114" s="6">
        <v>1.8919999999999999</v>
      </c>
      <c r="I114" s="6">
        <v>8.8000000000000007</v>
      </c>
      <c r="J114" s="6"/>
      <c r="K114" s="7"/>
      <c r="N114" s="19"/>
      <c r="O114" s="32" t="s">
        <v>1116</v>
      </c>
      <c r="P114" s="19"/>
      <c r="Q114" s="33"/>
    </row>
    <row r="115" spans="1:17" x14ac:dyDescent="0.3">
      <c r="A115" s="7">
        <v>1.91</v>
      </c>
      <c r="B115" s="7" t="s">
        <v>933</v>
      </c>
      <c r="C115" s="11" t="s">
        <v>424</v>
      </c>
      <c r="D115" s="7" t="s">
        <v>421</v>
      </c>
      <c r="E115" s="7" t="s">
        <v>422</v>
      </c>
      <c r="F115" s="7" t="s">
        <v>423</v>
      </c>
      <c r="G115" s="13">
        <v>66.400000000000006</v>
      </c>
      <c r="H115" s="6">
        <v>1.8009999999999999</v>
      </c>
      <c r="I115" s="6">
        <v>8.593</v>
      </c>
      <c r="J115" s="6">
        <v>1.7989999999999999</v>
      </c>
      <c r="K115" s="7">
        <v>34.5</v>
      </c>
      <c r="N115" s="19"/>
      <c r="O115" s="32" t="s">
        <v>951</v>
      </c>
      <c r="P115" s="31" t="s">
        <v>951</v>
      </c>
      <c r="Q115" s="33"/>
    </row>
    <row r="116" spans="1:17" x14ac:dyDescent="0.3">
      <c r="A116" s="7">
        <v>1.71</v>
      </c>
      <c r="B116" s="7"/>
      <c r="C116" s="11" t="s">
        <v>397</v>
      </c>
      <c r="D116" s="7" t="s">
        <v>395</v>
      </c>
      <c r="E116" s="7" t="s">
        <v>830</v>
      </c>
      <c r="F116" s="7" t="s">
        <v>396</v>
      </c>
      <c r="G116" s="13">
        <f>220.8*4.184*210.1/1000</f>
        <v>194.09609472</v>
      </c>
      <c r="H116" s="6">
        <v>1.63</v>
      </c>
      <c r="I116" s="6">
        <v>7</v>
      </c>
      <c r="J116" s="6"/>
      <c r="K116" s="7"/>
      <c r="M116" s="2">
        <v>820</v>
      </c>
      <c r="N116" s="19"/>
      <c r="O116" s="32" t="s">
        <v>1234</v>
      </c>
      <c r="P116" s="19"/>
      <c r="Q116" s="33" t="s">
        <v>1052</v>
      </c>
    </row>
    <row r="117" spans="1:17" x14ac:dyDescent="0.3">
      <c r="A117" s="7">
        <v>1.79</v>
      </c>
      <c r="B117" s="7"/>
      <c r="C117" s="11" t="s">
        <v>416</v>
      </c>
      <c r="D117" s="7" t="s">
        <v>413</v>
      </c>
      <c r="E117" s="7" t="s">
        <v>415</v>
      </c>
      <c r="F117" s="7" t="s">
        <v>414</v>
      </c>
      <c r="G117" s="13">
        <v>192</v>
      </c>
      <c r="H117" s="6">
        <v>1.69</v>
      </c>
      <c r="I117" s="16">
        <v>7.6159999999999997</v>
      </c>
      <c r="J117" s="16"/>
      <c r="K117" s="7"/>
      <c r="L117" s="2">
        <v>1.69</v>
      </c>
      <c r="M117" s="2">
        <v>1160</v>
      </c>
      <c r="N117" s="19"/>
      <c r="O117" s="32" t="s">
        <v>1235</v>
      </c>
      <c r="P117" s="19"/>
      <c r="Q117" s="33" t="s">
        <v>1332</v>
      </c>
    </row>
    <row r="118" spans="1:17" x14ac:dyDescent="0.3">
      <c r="A118" s="7">
        <v>1.83</v>
      </c>
      <c r="B118" s="7" t="s">
        <v>933</v>
      </c>
      <c r="C118" s="11" t="s">
        <v>419</v>
      </c>
      <c r="D118" s="7" t="s">
        <v>417</v>
      </c>
      <c r="E118" s="7" t="s">
        <v>420</v>
      </c>
      <c r="F118" s="7" t="s">
        <v>418</v>
      </c>
      <c r="G118" s="13">
        <f>-1.16*4.184</f>
        <v>-4.85344</v>
      </c>
      <c r="H118" s="6">
        <v>1.7</v>
      </c>
      <c r="I118" s="6">
        <v>7.8360000000000003</v>
      </c>
      <c r="J118" s="6">
        <v>1.68</v>
      </c>
      <c r="K118" s="7">
        <v>26</v>
      </c>
      <c r="N118" s="19"/>
      <c r="O118" s="32" t="s">
        <v>1236</v>
      </c>
      <c r="P118" s="31" t="s">
        <v>951</v>
      </c>
      <c r="Q118" s="33"/>
    </row>
    <row r="119" spans="1:17" x14ac:dyDescent="0.3">
      <c r="A119" s="7">
        <v>1.782</v>
      </c>
      <c r="B119" s="7" t="s">
        <v>933</v>
      </c>
      <c r="C119" s="11" t="s">
        <v>818</v>
      </c>
      <c r="D119" s="7" t="s">
        <v>817</v>
      </c>
      <c r="E119" s="7" t="s">
        <v>816</v>
      </c>
      <c r="F119" s="7" t="s">
        <v>815</v>
      </c>
      <c r="G119" s="13">
        <f>159.5*4.184</f>
        <v>667.34800000000007</v>
      </c>
      <c r="H119" s="6">
        <v>1.65</v>
      </c>
      <c r="I119" s="6">
        <v>7.7290000000000001</v>
      </c>
      <c r="J119" s="6">
        <v>1.65</v>
      </c>
      <c r="K119" s="7">
        <v>24.5</v>
      </c>
      <c r="N119" s="19"/>
      <c r="O119" s="32" t="s">
        <v>1057</v>
      </c>
      <c r="P119" s="31" t="s">
        <v>1057</v>
      </c>
      <c r="Q119" s="33"/>
    </row>
    <row r="120" spans="1:17" x14ac:dyDescent="0.3">
      <c r="A120" s="7">
        <v>1.6879999999999999</v>
      </c>
      <c r="B120" s="7"/>
      <c r="C120" s="11" t="s">
        <v>407</v>
      </c>
      <c r="D120" s="7" t="s">
        <v>406</v>
      </c>
      <c r="E120" s="7" t="s">
        <v>404</v>
      </c>
      <c r="F120" s="7" t="s">
        <v>405</v>
      </c>
      <c r="G120" s="13">
        <v>-37.200000000000003</v>
      </c>
      <c r="H120" s="6">
        <v>1.66</v>
      </c>
      <c r="I120" s="6">
        <v>7.35</v>
      </c>
      <c r="J120" s="6">
        <v>1.64</v>
      </c>
      <c r="K120" s="7">
        <v>21.9</v>
      </c>
      <c r="L120" s="2">
        <v>1.66</v>
      </c>
      <c r="M120" s="2">
        <v>1100</v>
      </c>
      <c r="N120" s="19"/>
      <c r="O120" s="32" t="s">
        <v>1237</v>
      </c>
      <c r="P120" s="31" t="s">
        <v>951</v>
      </c>
      <c r="Q120" s="33" t="s">
        <v>952</v>
      </c>
    </row>
    <row r="121" spans="1:17" x14ac:dyDescent="0.3">
      <c r="A121" s="7">
        <v>1.7689999999999999</v>
      </c>
      <c r="B121" s="7"/>
      <c r="C121" s="11" t="s">
        <v>205</v>
      </c>
      <c r="D121" s="7" t="s">
        <v>166</v>
      </c>
      <c r="E121" s="7" t="s">
        <v>165</v>
      </c>
      <c r="F121" s="7" t="s">
        <v>206</v>
      </c>
      <c r="G121" s="13">
        <v>-217.9</v>
      </c>
      <c r="H121" s="17">
        <v>1.7</v>
      </c>
      <c r="I121" s="6">
        <v>7.35</v>
      </c>
      <c r="J121" s="6"/>
      <c r="K121" s="7"/>
      <c r="L121" s="2">
        <v>1.7</v>
      </c>
      <c r="M121" s="2">
        <v>1010</v>
      </c>
      <c r="N121" s="19"/>
      <c r="O121" s="32" t="s">
        <v>1238</v>
      </c>
      <c r="P121" s="19"/>
      <c r="Q121" s="33" t="s">
        <v>952</v>
      </c>
    </row>
    <row r="122" spans="1:17" x14ac:dyDescent="0.3">
      <c r="A122" s="7">
        <v>1.9019999999999999</v>
      </c>
      <c r="B122" s="7"/>
      <c r="C122" s="11" t="s">
        <v>588</v>
      </c>
      <c r="D122" s="7" t="s">
        <v>586</v>
      </c>
      <c r="E122" s="7" t="s">
        <v>108</v>
      </c>
      <c r="F122" s="7" t="s">
        <v>587</v>
      </c>
      <c r="G122" s="13">
        <f>36.8*4.184</f>
        <v>153.97119999999998</v>
      </c>
      <c r="H122" s="6">
        <v>1.901</v>
      </c>
      <c r="I122" s="16">
        <v>8.2200000000000006</v>
      </c>
      <c r="J122" s="16"/>
      <c r="K122" s="7"/>
      <c r="L122" s="2">
        <v>1.73</v>
      </c>
      <c r="M122" s="2">
        <v>1110</v>
      </c>
      <c r="N122" s="19"/>
      <c r="O122" s="32" t="s">
        <v>1239</v>
      </c>
      <c r="P122" s="19"/>
      <c r="Q122" s="33" t="s">
        <v>1332</v>
      </c>
    </row>
    <row r="123" spans="1:17" x14ac:dyDescent="0.3">
      <c r="A123" s="7">
        <v>1.867</v>
      </c>
      <c r="B123" s="7" t="s">
        <v>933</v>
      </c>
      <c r="C123" s="11" t="s">
        <v>834</v>
      </c>
      <c r="D123" s="7" t="s">
        <v>833</v>
      </c>
      <c r="E123" s="7" t="s">
        <v>625</v>
      </c>
      <c r="F123" s="7" t="s">
        <v>626</v>
      </c>
      <c r="G123" s="13">
        <v>-48.95</v>
      </c>
      <c r="H123" s="6">
        <v>1.6</v>
      </c>
      <c r="I123" s="16">
        <v>7.63</v>
      </c>
      <c r="J123" s="16"/>
      <c r="K123" s="7"/>
      <c r="M123" s="2">
        <v>1017</v>
      </c>
      <c r="N123" s="19"/>
      <c r="O123" s="32" t="s">
        <v>950</v>
      </c>
      <c r="P123" s="19"/>
      <c r="Q123" s="33" t="s">
        <v>944</v>
      </c>
    </row>
    <row r="124" spans="1:17" x14ac:dyDescent="0.3">
      <c r="A124" s="7">
        <v>1.57</v>
      </c>
      <c r="B124" s="7"/>
      <c r="C124" s="11" t="s">
        <v>315</v>
      </c>
      <c r="D124" s="7" t="s">
        <v>314</v>
      </c>
      <c r="E124" s="7" t="s">
        <v>312</v>
      </c>
      <c r="F124" s="7" t="s">
        <v>313</v>
      </c>
      <c r="G124" s="13">
        <v>-27.2</v>
      </c>
      <c r="H124" s="6">
        <v>1.5</v>
      </c>
      <c r="I124" s="6">
        <v>6.1</v>
      </c>
      <c r="J124" s="6"/>
      <c r="K124" s="7"/>
      <c r="L124" s="2">
        <v>1.55</v>
      </c>
      <c r="M124" s="2">
        <v>870</v>
      </c>
      <c r="N124" s="19"/>
      <c r="O124" s="32" t="s">
        <v>1240</v>
      </c>
      <c r="P124" s="19"/>
      <c r="Q124" s="33" t="s">
        <v>1341</v>
      </c>
    </row>
    <row r="125" spans="1:17" x14ac:dyDescent="0.3">
      <c r="A125" s="7">
        <v>1.76</v>
      </c>
      <c r="B125" s="7"/>
      <c r="C125" s="11" t="s">
        <v>302</v>
      </c>
      <c r="D125" s="7" t="s">
        <v>300</v>
      </c>
      <c r="E125" s="7" t="s">
        <v>303</v>
      </c>
      <c r="F125" s="7" t="s">
        <v>301</v>
      </c>
      <c r="G125" s="8">
        <v>-74.5</v>
      </c>
      <c r="H125" s="6">
        <v>1.72</v>
      </c>
      <c r="I125" s="6">
        <v>7.3</v>
      </c>
      <c r="J125" s="6"/>
      <c r="K125" s="9"/>
      <c r="L125" s="2">
        <v>1.72</v>
      </c>
      <c r="M125" s="2">
        <v>1019</v>
      </c>
      <c r="N125" s="31"/>
      <c r="O125" s="32" t="s">
        <v>1241</v>
      </c>
      <c r="P125" s="19"/>
      <c r="Q125" s="33" t="s">
        <v>1332</v>
      </c>
    </row>
    <row r="126" spans="1:17" x14ac:dyDescent="0.3">
      <c r="A126" s="7">
        <v>1.9419999999999999</v>
      </c>
      <c r="B126" s="7"/>
      <c r="C126" s="11" t="s">
        <v>387</v>
      </c>
      <c r="D126" s="7" t="s">
        <v>386</v>
      </c>
      <c r="E126" s="7" t="s">
        <v>67</v>
      </c>
      <c r="F126" s="7" t="s">
        <v>94</v>
      </c>
      <c r="G126" s="13">
        <v>86.3</v>
      </c>
      <c r="H126" s="6">
        <v>1.89</v>
      </c>
      <c r="I126" s="6">
        <v>8.2200000000000006</v>
      </c>
      <c r="J126" s="6">
        <v>1.8049999999999999</v>
      </c>
      <c r="K126" s="7">
        <v>26.6</v>
      </c>
      <c r="N126" s="19"/>
      <c r="O126" s="32" t="s">
        <v>1242</v>
      </c>
      <c r="P126" s="31" t="s">
        <v>1130</v>
      </c>
      <c r="Q126" s="33"/>
    </row>
    <row r="127" spans="1:17" x14ac:dyDescent="0.3">
      <c r="A127" s="7">
        <v>1.8320000000000001</v>
      </c>
      <c r="B127" s="7" t="s">
        <v>933</v>
      </c>
      <c r="C127" s="11" t="s">
        <v>562</v>
      </c>
      <c r="D127" s="7" t="s">
        <v>560</v>
      </c>
      <c r="E127" s="7" t="s">
        <v>559</v>
      </c>
      <c r="F127" s="7" t="s">
        <v>561</v>
      </c>
      <c r="G127" s="13">
        <v>-79.400000000000006</v>
      </c>
      <c r="H127" s="6">
        <v>1.726</v>
      </c>
      <c r="I127" s="6">
        <v>7.6790000000000003</v>
      </c>
      <c r="J127" s="6"/>
      <c r="K127" s="7"/>
      <c r="N127" s="31" t="s">
        <v>1309</v>
      </c>
      <c r="O127" s="32" t="s">
        <v>980</v>
      </c>
      <c r="P127" s="19"/>
      <c r="Q127" s="33"/>
    </row>
    <row r="128" spans="1:17" x14ac:dyDescent="0.3">
      <c r="A128" s="7">
        <v>1.7450000000000001</v>
      </c>
      <c r="B128" s="7" t="s">
        <v>933</v>
      </c>
      <c r="C128" s="11" t="s">
        <v>555</v>
      </c>
      <c r="D128" s="7" t="s">
        <v>552</v>
      </c>
      <c r="E128" s="7" t="s">
        <v>553</v>
      </c>
      <c r="F128" s="7" t="s">
        <v>554</v>
      </c>
      <c r="G128" s="13"/>
      <c r="H128" s="6">
        <v>1.53</v>
      </c>
      <c r="I128" s="6">
        <v>7.1769999999999996</v>
      </c>
      <c r="J128" s="6"/>
      <c r="K128" s="7"/>
      <c r="N128" s="19"/>
      <c r="O128" s="32" t="s">
        <v>1118</v>
      </c>
      <c r="P128" s="19"/>
      <c r="Q128" s="33"/>
    </row>
    <row r="129" spans="1:17" x14ac:dyDescent="0.3">
      <c r="A129" s="7">
        <v>1.837</v>
      </c>
      <c r="B129" s="7"/>
      <c r="C129" s="11" t="s">
        <v>174</v>
      </c>
      <c r="D129" s="7" t="s">
        <v>175</v>
      </c>
      <c r="E129" s="7" t="s">
        <v>143</v>
      </c>
      <c r="F129" s="7" t="s">
        <v>176</v>
      </c>
      <c r="G129" s="13">
        <f>-23.4*4.184</f>
        <v>-97.905599999999993</v>
      </c>
      <c r="H129" s="6">
        <v>1.79</v>
      </c>
      <c r="I129" s="6">
        <v>7.52</v>
      </c>
      <c r="J129" s="6">
        <v>1.79</v>
      </c>
      <c r="K129" s="7">
        <v>25.9</v>
      </c>
      <c r="L129" s="2">
        <v>1.5</v>
      </c>
      <c r="M129" s="2">
        <v>930</v>
      </c>
      <c r="N129" s="19"/>
      <c r="O129" s="32" t="s">
        <v>1243</v>
      </c>
      <c r="P129" s="31" t="s">
        <v>971</v>
      </c>
      <c r="Q129" s="33" t="s">
        <v>1342</v>
      </c>
    </row>
    <row r="130" spans="1:17" x14ac:dyDescent="0.3">
      <c r="A130" s="7">
        <v>1.71</v>
      </c>
      <c r="B130" s="7" t="s">
        <v>933</v>
      </c>
      <c r="C130" s="11" t="s">
        <v>1013</v>
      </c>
      <c r="D130" s="7" t="s">
        <v>664</v>
      </c>
      <c r="E130" s="7" t="s">
        <v>125</v>
      </c>
      <c r="F130" s="7" t="s">
        <v>176</v>
      </c>
      <c r="G130" s="13">
        <v>93.9</v>
      </c>
      <c r="H130" s="6">
        <v>1.63</v>
      </c>
      <c r="I130" s="6">
        <v>7.266</v>
      </c>
      <c r="J130" s="6"/>
      <c r="K130" s="7"/>
      <c r="N130" s="19"/>
      <c r="O130" s="32" t="s">
        <v>1144</v>
      </c>
      <c r="P130" s="19"/>
      <c r="Q130" s="33"/>
    </row>
    <row r="131" spans="1:17" x14ac:dyDescent="0.3">
      <c r="A131" s="7">
        <v>1.72</v>
      </c>
      <c r="B131" s="7" t="s">
        <v>937</v>
      </c>
      <c r="C131" s="11" t="s">
        <v>184</v>
      </c>
      <c r="D131" s="7" t="s">
        <v>185</v>
      </c>
      <c r="E131" s="7" t="s">
        <v>182</v>
      </c>
      <c r="F131" s="7" t="s">
        <v>183</v>
      </c>
      <c r="G131" s="13">
        <v>-377</v>
      </c>
      <c r="H131" s="6">
        <v>1.72</v>
      </c>
      <c r="I131" s="6">
        <v>7.36</v>
      </c>
      <c r="J131" s="6">
        <v>1.48</v>
      </c>
      <c r="K131" s="7">
        <v>16.899999999999999</v>
      </c>
      <c r="L131" s="2">
        <v>1.72</v>
      </c>
      <c r="M131" s="2">
        <v>800</v>
      </c>
      <c r="N131" s="19"/>
      <c r="O131" s="32" t="s">
        <v>1244</v>
      </c>
      <c r="P131" s="31" t="s">
        <v>1321</v>
      </c>
      <c r="Q131" s="33" t="s">
        <v>945</v>
      </c>
    </row>
    <row r="132" spans="1:17" x14ac:dyDescent="0.3">
      <c r="A132" s="7">
        <v>1.9850000000000001</v>
      </c>
      <c r="B132" s="7"/>
      <c r="C132" s="11" t="s">
        <v>687</v>
      </c>
      <c r="D132" s="7" t="s">
        <v>688</v>
      </c>
      <c r="E132" s="7" t="s">
        <v>111</v>
      </c>
      <c r="F132" s="7" t="s">
        <v>686</v>
      </c>
      <c r="G132" s="13">
        <v>-530.9</v>
      </c>
      <c r="H132" s="6">
        <v>1.8839999999999999</v>
      </c>
      <c r="I132" s="6">
        <v>7.4690000000000003</v>
      </c>
      <c r="J132" s="6">
        <v>1.8149999999999999</v>
      </c>
      <c r="K132" s="7">
        <v>22.2</v>
      </c>
      <c r="N132" s="31" t="s">
        <v>1053</v>
      </c>
      <c r="O132" s="32" t="s">
        <v>1245</v>
      </c>
      <c r="P132" s="31" t="s">
        <v>1322</v>
      </c>
      <c r="Q132" s="33"/>
    </row>
    <row r="133" spans="1:17" x14ac:dyDescent="0.3">
      <c r="A133" s="7">
        <v>1.9370000000000001</v>
      </c>
      <c r="B133" s="7"/>
      <c r="C133" s="11" t="s">
        <v>244</v>
      </c>
      <c r="D133" s="7" t="s">
        <v>245</v>
      </c>
      <c r="E133" s="7" t="s">
        <v>29</v>
      </c>
      <c r="F133" s="7" t="s">
        <v>30</v>
      </c>
      <c r="G133" s="13">
        <v>-139.80000000000001</v>
      </c>
      <c r="H133" s="6">
        <v>1.88</v>
      </c>
      <c r="I133" s="6">
        <v>7.76</v>
      </c>
      <c r="J133" s="6">
        <v>1.88</v>
      </c>
      <c r="K133" s="7">
        <v>31.2</v>
      </c>
      <c r="L133" s="2">
        <v>1.87</v>
      </c>
      <c r="M133" s="2">
        <v>933</v>
      </c>
      <c r="N133" s="19"/>
      <c r="O133" s="32" t="s">
        <v>1246</v>
      </c>
      <c r="P133" s="31" t="s">
        <v>1323</v>
      </c>
      <c r="Q133" s="33" t="s">
        <v>1334</v>
      </c>
    </row>
    <row r="134" spans="1:17" ht="17.399999999999999" customHeight="1" x14ac:dyDescent="0.3">
      <c r="A134" s="7">
        <v>1.839</v>
      </c>
      <c r="B134" s="7"/>
      <c r="C134" s="11" t="s">
        <v>257</v>
      </c>
      <c r="D134" s="7" t="s">
        <v>256</v>
      </c>
      <c r="E134" s="7" t="s">
        <v>258</v>
      </c>
      <c r="F134" s="7" t="s">
        <v>255</v>
      </c>
      <c r="G134" s="8">
        <v>-496</v>
      </c>
      <c r="H134" s="6">
        <v>1.78</v>
      </c>
      <c r="I134" s="6">
        <v>8.4600000000000009</v>
      </c>
      <c r="J134" s="6">
        <v>1.69</v>
      </c>
      <c r="K134" s="9">
        <v>26.5</v>
      </c>
      <c r="N134" s="31"/>
      <c r="O134" s="32" t="s">
        <v>1247</v>
      </c>
      <c r="P134" s="31" t="s">
        <v>1324</v>
      </c>
      <c r="Q134" s="33"/>
    </row>
    <row r="135" spans="1:17" x14ac:dyDescent="0.3">
      <c r="A135" s="7">
        <v>1.73</v>
      </c>
      <c r="B135" s="7" t="s">
        <v>933</v>
      </c>
      <c r="C135" s="11" t="s">
        <v>1017</v>
      </c>
      <c r="D135" s="7" t="s">
        <v>227</v>
      </c>
      <c r="E135" s="7" t="s">
        <v>1141</v>
      </c>
      <c r="F135" s="7" t="s">
        <v>226</v>
      </c>
      <c r="G135" s="8">
        <v>-149.30000000000001</v>
      </c>
      <c r="H135" s="6">
        <v>1.73</v>
      </c>
      <c r="I135" s="6">
        <v>7.94</v>
      </c>
      <c r="J135" s="6"/>
      <c r="K135" s="9"/>
      <c r="N135" s="31" t="s">
        <v>1134</v>
      </c>
      <c r="O135" s="32" t="s">
        <v>1134</v>
      </c>
      <c r="P135" s="19"/>
      <c r="Q135" s="33"/>
    </row>
    <row r="136" spans="1:17" x14ac:dyDescent="0.3">
      <c r="A136" s="7">
        <v>2.02</v>
      </c>
      <c r="B136" s="7" t="s">
        <v>933</v>
      </c>
      <c r="C136" s="11" t="s">
        <v>1029</v>
      </c>
      <c r="D136" s="7" t="s">
        <v>718</v>
      </c>
      <c r="E136" s="7" t="s">
        <v>717</v>
      </c>
      <c r="F136" s="7" t="s">
        <v>226</v>
      </c>
      <c r="G136" s="8">
        <f>-203.3*350.2/1000</f>
        <v>-71.195660000000004</v>
      </c>
      <c r="H136" s="6">
        <v>1.96</v>
      </c>
      <c r="I136" s="6">
        <v>8.68</v>
      </c>
      <c r="J136" s="6"/>
      <c r="K136" s="9"/>
      <c r="N136" s="31" t="s">
        <v>1248</v>
      </c>
      <c r="O136" s="32" t="s">
        <v>1248</v>
      </c>
      <c r="P136" s="19"/>
      <c r="Q136" s="33"/>
    </row>
    <row r="137" spans="1:17" x14ac:dyDescent="0.3">
      <c r="A137" s="7">
        <v>1.97</v>
      </c>
      <c r="B137" s="7" t="s">
        <v>933</v>
      </c>
      <c r="C137" s="11" t="s">
        <v>1030</v>
      </c>
      <c r="D137" s="7" t="s">
        <v>720</v>
      </c>
      <c r="E137" s="7" t="s">
        <v>719</v>
      </c>
      <c r="F137" s="7" t="s">
        <v>226</v>
      </c>
      <c r="G137" s="8">
        <v>-71</v>
      </c>
      <c r="H137" s="6">
        <v>1.97</v>
      </c>
      <c r="I137" s="6">
        <v>8.6999999999999993</v>
      </c>
      <c r="J137" s="6"/>
      <c r="K137" s="9"/>
      <c r="N137" s="31" t="s">
        <v>1156</v>
      </c>
      <c r="O137" s="32" t="s">
        <v>1156</v>
      </c>
      <c r="P137" s="19"/>
      <c r="Q137" s="33"/>
    </row>
    <row r="138" spans="1:17" x14ac:dyDescent="0.3">
      <c r="A138" s="7">
        <v>2.044</v>
      </c>
      <c r="B138" s="7"/>
      <c r="C138" s="11" t="s">
        <v>224</v>
      </c>
      <c r="D138" s="7" t="s">
        <v>225</v>
      </c>
      <c r="E138" s="7" t="s">
        <v>2</v>
      </c>
      <c r="F138" s="7" t="s">
        <v>21</v>
      </c>
      <c r="G138" s="13">
        <v>377</v>
      </c>
      <c r="H138" s="6">
        <v>2.04</v>
      </c>
      <c r="I138" s="6">
        <v>9.56</v>
      </c>
      <c r="J138" s="6">
        <v>2.04</v>
      </c>
      <c r="K138" s="7">
        <v>42.7</v>
      </c>
      <c r="L138" s="2">
        <v>1.88</v>
      </c>
      <c r="M138" s="2">
        <v>1482</v>
      </c>
      <c r="N138" s="31" t="s">
        <v>1053</v>
      </c>
      <c r="O138" s="32" t="s">
        <v>1249</v>
      </c>
      <c r="P138" s="31" t="s">
        <v>954</v>
      </c>
      <c r="Q138" s="33" t="s">
        <v>1343</v>
      </c>
    </row>
    <row r="139" spans="1:17" x14ac:dyDescent="0.3">
      <c r="A139" s="7">
        <v>1.8859999999999999</v>
      </c>
      <c r="B139" s="7" t="s">
        <v>933</v>
      </c>
      <c r="C139" s="11" t="s">
        <v>457</v>
      </c>
      <c r="D139" s="7" t="s">
        <v>456</v>
      </c>
      <c r="E139" s="7" t="s">
        <v>455</v>
      </c>
      <c r="F139" s="7" t="s">
        <v>21</v>
      </c>
      <c r="G139" s="13">
        <v>336</v>
      </c>
      <c r="H139" s="6">
        <v>1.69</v>
      </c>
      <c r="I139" s="6">
        <v>8.2270000000000003</v>
      </c>
      <c r="J139" s="6"/>
      <c r="K139" s="7"/>
      <c r="N139" s="31" t="s">
        <v>1310</v>
      </c>
      <c r="O139" s="32" t="s">
        <v>951</v>
      </c>
      <c r="P139" s="19"/>
      <c r="Q139" s="33"/>
    </row>
    <row r="140" spans="1:17" x14ac:dyDescent="0.3">
      <c r="A140" s="7"/>
      <c r="B140" s="7" t="s">
        <v>933</v>
      </c>
      <c r="C140" s="11" t="s">
        <v>478</v>
      </c>
      <c r="D140" s="7" t="s">
        <v>472</v>
      </c>
      <c r="E140" s="7" t="s">
        <v>474</v>
      </c>
      <c r="F140" s="7" t="s">
        <v>473</v>
      </c>
      <c r="G140" s="13"/>
      <c r="H140" s="6">
        <v>1.08</v>
      </c>
      <c r="I140" s="6">
        <v>5.3</v>
      </c>
      <c r="J140" s="6"/>
      <c r="K140" s="7"/>
      <c r="N140" s="19"/>
      <c r="O140" s="32" t="s">
        <v>1250</v>
      </c>
      <c r="P140" s="19"/>
      <c r="Q140" s="33"/>
    </row>
    <row r="141" spans="1:17" x14ac:dyDescent="0.3">
      <c r="A141" s="7"/>
      <c r="B141" s="7" t="s">
        <v>933</v>
      </c>
      <c r="C141" s="11" t="s">
        <v>840</v>
      </c>
      <c r="D141" s="7" t="s">
        <v>836</v>
      </c>
      <c r="E141" s="7" t="s">
        <v>837</v>
      </c>
      <c r="F141" s="7" t="s">
        <v>835</v>
      </c>
      <c r="G141" s="13"/>
      <c r="H141" s="6">
        <v>0.8</v>
      </c>
      <c r="I141" s="6">
        <v>4.08</v>
      </c>
      <c r="J141" s="6"/>
      <c r="K141" s="7"/>
      <c r="N141" s="19"/>
      <c r="O141" s="32" t="s">
        <v>944</v>
      </c>
      <c r="P141" s="19"/>
      <c r="Q141" s="33"/>
    </row>
    <row r="142" spans="1:17" x14ac:dyDescent="0.3">
      <c r="A142" s="7">
        <v>1.72</v>
      </c>
      <c r="B142" s="7" t="s">
        <v>933</v>
      </c>
      <c r="C142" s="11" t="s">
        <v>839</v>
      </c>
      <c r="D142" s="7" t="s">
        <v>974</v>
      </c>
      <c r="E142" s="7" t="s">
        <v>838</v>
      </c>
      <c r="F142" s="7" t="s">
        <v>835</v>
      </c>
      <c r="G142" s="13">
        <v>-561</v>
      </c>
      <c r="H142" s="6">
        <v>1.63</v>
      </c>
      <c r="I142" s="6">
        <v>7.8</v>
      </c>
      <c r="J142" s="6"/>
      <c r="K142" s="7"/>
      <c r="N142" s="19"/>
      <c r="O142" s="32" t="s">
        <v>944</v>
      </c>
      <c r="P142" s="19"/>
      <c r="Q142" s="33"/>
    </row>
    <row r="143" spans="1:17" x14ac:dyDescent="0.3">
      <c r="A143" s="7">
        <v>1.73</v>
      </c>
      <c r="B143" s="7"/>
      <c r="C143" s="11" t="s">
        <v>352</v>
      </c>
      <c r="D143" s="7" t="s">
        <v>973</v>
      </c>
      <c r="E143" s="7" t="s">
        <v>145</v>
      </c>
      <c r="F143" s="7" t="s">
        <v>351</v>
      </c>
      <c r="G143" s="13">
        <v>-707</v>
      </c>
      <c r="H143" s="6">
        <v>1.73</v>
      </c>
      <c r="I143" s="6">
        <v>8.26</v>
      </c>
      <c r="J143" s="6"/>
      <c r="K143" s="7"/>
      <c r="L143" s="2">
        <v>1.73</v>
      </c>
      <c r="M143" s="2">
        <v>1454</v>
      </c>
      <c r="N143" s="19"/>
      <c r="O143" s="32" t="s">
        <v>1171</v>
      </c>
      <c r="P143" s="19"/>
      <c r="Q143" s="33" t="s">
        <v>1344</v>
      </c>
    </row>
    <row r="144" spans="1:17" x14ac:dyDescent="0.3">
      <c r="A144" s="7">
        <v>1.85</v>
      </c>
      <c r="B144" s="7"/>
      <c r="C144" s="11" t="s">
        <v>1018</v>
      </c>
      <c r="D144" s="7" t="s">
        <v>441</v>
      </c>
      <c r="E144" s="7" t="s">
        <v>154</v>
      </c>
      <c r="F144" s="7" t="s">
        <v>440</v>
      </c>
      <c r="G144" s="13">
        <v>-27.3</v>
      </c>
      <c r="H144" s="6">
        <v>1.845</v>
      </c>
      <c r="I144" s="6">
        <v>8.8000000000000007</v>
      </c>
      <c r="J144" s="6">
        <v>1.7809999999999999</v>
      </c>
      <c r="K144" s="7">
        <v>33.6</v>
      </c>
      <c r="N144" s="19"/>
      <c r="O144" s="32" t="s">
        <v>1251</v>
      </c>
      <c r="P144" s="31" t="s">
        <v>951</v>
      </c>
      <c r="Q144" s="33"/>
    </row>
    <row r="145" spans="1:17" x14ac:dyDescent="0.3">
      <c r="A145" s="7">
        <v>1.87</v>
      </c>
      <c r="B145" s="7"/>
      <c r="C145" s="11" t="s">
        <v>453</v>
      </c>
      <c r="D145" s="7" t="s">
        <v>452</v>
      </c>
      <c r="E145" s="7" t="s">
        <v>92</v>
      </c>
      <c r="F145" s="7" t="s">
        <v>93</v>
      </c>
      <c r="G145" s="13">
        <v>-35.5</v>
      </c>
      <c r="H145" s="6">
        <v>1.87</v>
      </c>
      <c r="I145" s="16">
        <v>9.08</v>
      </c>
      <c r="J145" s="16"/>
      <c r="K145" s="7"/>
      <c r="L145" s="2">
        <v>0.8</v>
      </c>
      <c r="M145" s="2">
        <v>1480</v>
      </c>
      <c r="N145" s="19"/>
      <c r="O145" s="32" t="s">
        <v>1252</v>
      </c>
      <c r="P145" s="19"/>
      <c r="Q145" s="33" t="s">
        <v>1332</v>
      </c>
    </row>
    <row r="146" spans="1:17" x14ac:dyDescent="0.3">
      <c r="A146" s="7">
        <v>1.64</v>
      </c>
      <c r="B146" s="7" t="s">
        <v>933</v>
      </c>
      <c r="C146" s="11" t="s">
        <v>665</v>
      </c>
      <c r="D146" s="7" t="s">
        <v>666</v>
      </c>
      <c r="E146" s="7" t="s">
        <v>126</v>
      </c>
      <c r="F146" s="7" t="s">
        <v>667</v>
      </c>
      <c r="G146" s="13">
        <v>275</v>
      </c>
      <c r="H146" s="6">
        <v>1.53</v>
      </c>
      <c r="I146" s="6">
        <v>7.2279999999999998</v>
      </c>
      <c r="J146" s="6"/>
      <c r="K146" s="7"/>
      <c r="N146" s="31" t="s">
        <v>1144</v>
      </c>
      <c r="O146" s="32" t="s">
        <v>1144</v>
      </c>
      <c r="P146" s="19"/>
      <c r="Q146" s="33"/>
    </row>
    <row r="147" spans="1:17" x14ac:dyDescent="0.3">
      <c r="A147" s="7">
        <v>1.73</v>
      </c>
      <c r="B147" s="7" t="s">
        <v>933</v>
      </c>
      <c r="C147" s="11" t="s">
        <v>345</v>
      </c>
      <c r="D147" s="7" t="s">
        <v>344</v>
      </c>
      <c r="E147" s="7" t="s">
        <v>147</v>
      </c>
      <c r="F147" s="7" t="s">
        <v>340</v>
      </c>
      <c r="G147" s="13">
        <v>-231.7</v>
      </c>
      <c r="H147" s="6">
        <v>1.73</v>
      </c>
      <c r="I147" s="6">
        <v>8.1</v>
      </c>
      <c r="J147" s="6"/>
      <c r="K147" s="7"/>
      <c r="N147" s="19"/>
      <c r="O147" s="32" t="s">
        <v>1233</v>
      </c>
      <c r="P147" s="19"/>
      <c r="Q147" s="33"/>
    </row>
    <row r="148" spans="1:17" x14ac:dyDescent="0.3">
      <c r="A148" s="7">
        <v>1.8</v>
      </c>
      <c r="B148" s="7" t="s">
        <v>933</v>
      </c>
      <c r="C148" s="11" t="s">
        <v>678</v>
      </c>
      <c r="D148" s="7" t="s">
        <v>661</v>
      </c>
      <c r="E148" s="7" t="s">
        <v>90</v>
      </c>
      <c r="F148" s="7" t="s">
        <v>677</v>
      </c>
      <c r="G148" s="13">
        <v>132.6</v>
      </c>
      <c r="H148" s="6">
        <v>1.64</v>
      </c>
      <c r="I148" s="16">
        <v>7.7750000000000004</v>
      </c>
      <c r="J148" s="16"/>
      <c r="K148" s="7"/>
      <c r="N148" s="19"/>
      <c r="O148" s="32" t="s">
        <v>1180</v>
      </c>
      <c r="P148" s="19"/>
      <c r="Q148" s="33"/>
    </row>
    <row r="149" spans="1:17" x14ac:dyDescent="0.3">
      <c r="A149" s="7">
        <v>1.5</v>
      </c>
      <c r="B149" s="7" t="s">
        <v>933</v>
      </c>
      <c r="C149" s="11" t="s">
        <v>471</v>
      </c>
      <c r="D149" s="7" t="s">
        <v>469</v>
      </c>
      <c r="E149" s="7" t="s">
        <v>470</v>
      </c>
      <c r="F149" s="7" t="s">
        <v>468</v>
      </c>
      <c r="G149" s="13">
        <f>-1783*269.4/1000</f>
        <v>-480.34019999999998</v>
      </c>
      <c r="H149" s="6">
        <v>1.48</v>
      </c>
      <c r="I149" s="6">
        <v>6.44</v>
      </c>
      <c r="J149" s="6"/>
      <c r="K149" s="7"/>
      <c r="N149" s="19"/>
      <c r="O149" s="32" t="s">
        <v>1253</v>
      </c>
      <c r="P149" s="19"/>
      <c r="Q149" s="33"/>
    </row>
    <row r="150" spans="1:17" x14ac:dyDescent="0.3">
      <c r="A150" s="7">
        <v>1.57</v>
      </c>
      <c r="B150" s="7"/>
      <c r="C150" s="11" t="s">
        <v>676</v>
      </c>
      <c r="D150" s="7" t="s">
        <v>86</v>
      </c>
      <c r="E150" s="11" t="s">
        <v>87</v>
      </c>
      <c r="F150" s="7" t="s">
        <v>88</v>
      </c>
      <c r="G150" s="13">
        <v>-360</v>
      </c>
      <c r="H150" s="6">
        <v>1.1000000000000001</v>
      </c>
      <c r="I150" s="6">
        <v>5.0999999999999996</v>
      </c>
      <c r="J150" s="6"/>
      <c r="K150" s="7"/>
      <c r="N150" s="19"/>
      <c r="O150" s="32" t="s">
        <v>1254</v>
      </c>
      <c r="P150" s="19"/>
      <c r="Q150" s="33"/>
    </row>
    <row r="151" spans="1:17" x14ac:dyDescent="0.3">
      <c r="A151" s="7">
        <v>1.335</v>
      </c>
      <c r="B151" s="7" t="s">
        <v>938</v>
      </c>
      <c r="C151" s="11" t="s">
        <v>269</v>
      </c>
      <c r="D151" s="7" t="s">
        <v>268</v>
      </c>
      <c r="E151" s="7" t="s">
        <v>261</v>
      </c>
      <c r="F151" s="7" t="s">
        <v>270</v>
      </c>
      <c r="G151" s="8">
        <v>-629</v>
      </c>
      <c r="H151" s="6">
        <v>1.32</v>
      </c>
      <c r="I151" s="6">
        <v>6.4</v>
      </c>
      <c r="J151" s="6"/>
      <c r="K151" s="9"/>
      <c r="N151" s="31"/>
      <c r="O151" s="32" t="s">
        <v>958</v>
      </c>
      <c r="P151" s="19"/>
      <c r="Q151" s="33"/>
    </row>
    <row r="152" spans="1:17" x14ac:dyDescent="0.3">
      <c r="A152" s="7">
        <v>1.68</v>
      </c>
      <c r="B152" s="7" t="s">
        <v>957</v>
      </c>
      <c r="C152" s="11" t="s">
        <v>841</v>
      </c>
      <c r="D152" s="7" t="s">
        <v>639</v>
      </c>
      <c r="E152" s="7" t="s">
        <v>637</v>
      </c>
      <c r="F152" s="7" t="s">
        <v>638</v>
      </c>
      <c r="G152" s="13">
        <v>711</v>
      </c>
      <c r="H152" s="6">
        <v>1.58</v>
      </c>
      <c r="I152" s="6">
        <v>7.6</v>
      </c>
      <c r="J152" s="6">
        <v>1.58</v>
      </c>
      <c r="K152" s="7">
        <v>23</v>
      </c>
      <c r="N152" s="19"/>
      <c r="O152" s="32" t="s">
        <v>994</v>
      </c>
      <c r="P152" s="31" t="s">
        <v>994</v>
      </c>
      <c r="Q152" s="33"/>
    </row>
    <row r="153" spans="1:17" x14ac:dyDescent="0.3">
      <c r="A153" s="7">
        <v>1.61</v>
      </c>
      <c r="B153" s="7" t="s">
        <v>957</v>
      </c>
      <c r="C153" s="11" t="s">
        <v>1019</v>
      </c>
      <c r="D153" s="7" t="s">
        <v>544</v>
      </c>
      <c r="E153" s="7" t="s">
        <v>542</v>
      </c>
      <c r="F153" s="7" t="s">
        <v>547</v>
      </c>
      <c r="G153" s="13">
        <f>300*4.184</f>
        <v>1255.2</v>
      </c>
      <c r="H153" s="6">
        <v>1.51</v>
      </c>
      <c r="I153" s="6">
        <v>7.62</v>
      </c>
      <c r="J153" s="6">
        <v>1.51</v>
      </c>
      <c r="K153" s="7">
        <v>21.9</v>
      </c>
      <c r="N153" s="31" t="s">
        <v>1114</v>
      </c>
      <c r="O153" s="32" t="s">
        <v>1219</v>
      </c>
      <c r="P153" s="31" t="s">
        <v>1219</v>
      </c>
      <c r="Q153" s="33"/>
    </row>
    <row r="154" spans="1:17" x14ac:dyDescent="0.3">
      <c r="A154" s="7">
        <v>1.9339999999999999</v>
      </c>
      <c r="B154" s="7" t="s">
        <v>977</v>
      </c>
      <c r="C154" s="11" t="s">
        <v>234</v>
      </c>
      <c r="D154" s="7" t="s">
        <v>163</v>
      </c>
      <c r="E154" s="7" t="s">
        <v>158</v>
      </c>
      <c r="F154" s="7" t="s">
        <v>232</v>
      </c>
      <c r="G154" s="8">
        <v>298</v>
      </c>
      <c r="H154" s="6">
        <v>1.9339999999999999</v>
      </c>
      <c r="I154" s="6">
        <v>9.91</v>
      </c>
      <c r="J154" s="6"/>
      <c r="K154" s="9"/>
      <c r="N154" s="31" t="s">
        <v>1089</v>
      </c>
      <c r="O154" s="32" t="s">
        <v>1226</v>
      </c>
      <c r="P154" s="19"/>
      <c r="Q154" s="33"/>
    </row>
    <row r="155" spans="1:17" x14ac:dyDescent="0.3">
      <c r="A155" s="7">
        <v>1.64</v>
      </c>
      <c r="B155" s="7"/>
      <c r="C155" s="11" t="s">
        <v>216</v>
      </c>
      <c r="D155" s="7" t="s">
        <v>215</v>
      </c>
      <c r="E155" s="7" t="s">
        <v>5</v>
      </c>
      <c r="F155" s="7" t="s">
        <v>11</v>
      </c>
      <c r="G155" s="13">
        <v>-61.9</v>
      </c>
      <c r="H155" s="6">
        <v>1.63</v>
      </c>
      <c r="I155" s="6">
        <v>6.94</v>
      </c>
      <c r="J155" s="6">
        <v>1.63</v>
      </c>
      <c r="K155" s="7">
        <v>19</v>
      </c>
      <c r="L155" s="2">
        <v>1.6</v>
      </c>
      <c r="M155" s="2">
        <v>1030</v>
      </c>
      <c r="N155" s="31" t="s">
        <v>1053</v>
      </c>
      <c r="O155" s="32" t="s">
        <v>1255</v>
      </c>
      <c r="P155" s="31" t="s">
        <v>1325</v>
      </c>
      <c r="Q155" s="33" t="s">
        <v>952</v>
      </c>
    </row>
    <row r="156" spans="1:17" x14ac:dyDescent="0.3">
      <c r="A156" s="7">
        <v>1.68</v>
      </c>
      <c r="B156" s="7" t="s">
        <v>933</v>
      </c>
      <c r="C156" s="11" t="s">
        <v>409</v>
      </c>
      <c r="D156" s="7" t="s">
        <v>410</v>
      </c>
      <c r="E156" s="7" t="s">
        <v>408</v>
      </c>
      <c r="F156" s="7" t="s">
        <v>359</v>
      </c>
      <c r="G156" s="13">
        <v>-252</v>
      </c>
      <c r="H156" s="6">
        <v>1.62</v>
      </c>
      <c r="I156" s="6">
        <v>6.85</v>
      </c>
      <c r="J156" s="6"/>
      <c r="K156" s="7"/>
      <c r="L156" s="2">
        <v>1.58</v>
      </c>
      <c r="M156" s="2">
        <v>912</v>
      </c>
      <c r="N156" s="19"/>
      <c r="O156" s="32" t="s">
        <v>945</v>
      </c>
      <c r="P156" s="19"/>
      <c r="Q156" s="33" t="s">
        <v>945</v>
      </c>
    </row>
    <row r="157" spans="1:17" x14ac:dyDescent="0.3">
      <c r="A157" s="7">
        <v>1.708</v>
      </c>
      <c r="B157" s="7" t="s">
        <v>933</v>
      </c>
      <c r="C157" s="11" t="s">
        <v>362</v>
      </c>
      <c r="D157" s="7" t="s">
        <v>363</v>
      </c>
      <c r="E157" s="7" t="s">
        <v>364</v>
      </c>
      <c r="F157" s="7" t="s">
        <v>359</v>
      </c>
      <c r="G157" s="13">
        <v>-153</v>
      </c>
      <c r="H157" s="6">
        <v>1.57</v>
      </c>
      <c r="I157" s="6">
        <v>6.8</v>
      </c>
      <c r="J157" s="6"/>
      <c r="K157" s="7"/>
      <c r="L157" s="2">
        <v>1.61</v>
      </c>
      <c r="M157" s="2">
        <v>945</v>
      </c>
      <c r="N157" s="19"/>
      <c r="O157" s="32" t="s">
        <v>1256</v>
      </c>
      <c r="P157" s="19"/>
      <c r="Q157" s="33" t="s">
        <v>945</v>
      </c>
    </row>
    <row r="158" spans="1:17" x14ac:dyDescent="0.3">
      <c r="A158" s="7">
        <v>1.73</v>
      </c>
      <c r="B158" s="7"/>
      <c r="C158" s="11" t="s">
        <v>214</v>
      </c>
      <c r="D158" s="7" t="s">
        <v>213</v>
      </c>
      <c r="E158" s="7" t="s">
        <v>62</v>
      </c>
      <c r="F158" s="7" t="s">
        <v>63</v>
      </c>
      <c r="G158" s="13">
        <v>28.2</v>
      </c>
      <c r="H158" s="6">
        <v>1.71</v>
      </c>
      <c r="I158" s="6">
        <v>7.72</v>
      </c>
      <c r="J158" s="6">
        <v>1.68</v>
      </c>
      <c r="K158" s="7">
        <v>23.9</v>
      </c>
      <c r="L158" s="2">
        <v>1.69</v>
      </c>
      <c r="M158" s="2">
        <v>1160</v>
      </c>
      <c r="N158" s="31" t="s">
        <v>1053</v>
      </c>
      <c r="O158" s="32" t="s">
        <v>1257</v>
      </c>
      <c r="P158" s="31" t="s">
        <v>1326</v>
      </c>
      <c r="Q158" s="33" t="s">
        <v>1342</v>
      </c>
    </row>
    <row r="159" spans="1:17" x14ac:dyDescent="0.3">
      <c r="A159" s="7">
        <v>1.52</v>
      </c>
      <c r="B159" s="7" t="s">
        <v>937</v>
      </c>
      <c r="C159" s="11" t="s">
        <v>878</v>
      </c>
      <c r="D159" s="7" t="s">
        <v>877</v>
      </c>
      <c r="E159" s="7" t="s">
        <v>875</v>
      </c>
      <c r="F159" s="7" t="s">
        <v>876</v>
      </c>
      <c r="G159" s="13">
        <v>-70.099999999999994</v>
      </c>
      <c r="H159" s="6">
        <v>1.5069999999999999</v>
      </c>
      <c r="I159" s="6">
        <v>6.35</v>
      </c>
      <c r="J159" s="6"/>
      <c r="K159" s="7"/>
      <c r="N159" s="31" t="s">
        <v>1053</v>
      </c>
      <c r="O159" s="32" t="s">
        <v>1258</v>
      </c>
      <c r="P159" s="19"/>
      <c r="Q159" s="33"/>
    </row>
    <row r="160" spans="1:17" x14ac:dyDescent="0.3">
      <c r="A160" s="7">
        <v>1.546</v>
      </c>
      <c r="B160" s="7"/>
      <c r="C160" s="11" t="s">
        <v>598</v>
      </c>
      <c r="D160" s="7" t="s">
        <v>597</v>
      </c>
      <c r="E160" s="7" t="s">
        <v>596</v>
      </c>
      <c r="F160" s="7" t="s">
        <v>595</v>
      </c>
      <c r="G160" s="13">
        <v>-183</v>
      </c>
      <c r="H160" s="6">
        <v>1.52</v>
      </c>
      <c r="I160" s="6">
        <v>5.59</v>
      </c>
      <c r="J160" s="6"/>
      <c r="K160" s="7"/>
      <c r="N160" s="31" t="s">
        <v>1053</v>
      </c>
      <c r="O160" s="32" t="s">
        <v>1259</v>
      </c>
      <c r="P160" s="19"/>
      <c r="Q160" s="33"/>
    </row>
    <row r="161" spans="1:17" x14ac:dyDescent="0.3">
      <c r="A161" s="7">
        <v>1.802</v>
      </c>
      <c r="B161" s="7" t="s">
        <v>977</v>
      </c>
      <c r="C161" s="11" t="s">
        <v>235</v>
      </c>
      <c r="D161" s="7" t="s">
        <v>162</v>
      </c>
      <c r="E161" s="7" t="s">
        <v>157</v>
      </c>
      <c r="F161" s="7" t="s">
        <v>233</v>
      </c>
      <c r="G161" s="8">
        <v>128</v>
      </c>
      <c r="H161" s="6">
        <v>1.802</v>
      </c>
      <c r="I161" s="6">
        <v>8.6300000000000008</v>
      </c>
      <c r="J161" s="6"/>
      <c r="K161" s="9"/>
      <c r="N161" s="31" t="s">
        <v>1089</v>
      </c>
      <c r="O161" s="32" t="s">
        <v>1226</v>
      </c>
      <c r="P161" s="19"/>
      <c r="Q161" s="33"/>
    </row>
    <row r="162" spans="1:17" x14ac:dyDescent="0.3">
      <c r="A162" s="7">
        <v>1.66</v>
      </c>
      <c r="B162" s="7" t="s">
        <v>933</v>
      </c>
      <c r="C162" s="11" t="s">
        <v>1020</v>
      </c>
      <c r="D162" s="7" t="s">
        <v>137</v>
      </c>
      <c r="E162" s="7" t="s">
        <v>655</v>
      </c>
      <c r="F162" s="7" t="s">
        <v>656</v>
      </c>
      <c r="G162" s="13">
        <v>152.5</v>
      </c>
      <c r="H162" s="6">
        <v>1.6</v>
      </c>
      <c r="I162" s="6">
        <v>7.3609999999999998</v>
      </c>
      <c r="J162" s="6"/>
      <c r="K162" s="7"/>
      <c r="N162" s="31" t="s">
        <v>1144</v>
      </c>
      <c r="O162" s="32" t="s">
        <v>1144</v>
      </c>
      <c r="P162" s="19"/>
      <c r="Q162" s="33"/>
    </row>
    <row r="163" spans="1:17" x14ac:dyDescent="0.3">
      <c r="A163" s="7">
        <v>1.8</v>
      </c>
      <c r="B163" s="7" t="s">
        <v>933</v>
      </c>
      <c r="C163" s="11" t="s">
        <v>1101</v>
      </c>
      <c r="D163" s="7" t="s">
        <v>1102</v>
      </c>
      <c r="E163" s="7" t="s">
        <v>1103</v>
      </c>
      <c r="F163" s="7" t="s">
        <v>1104</v>
      </c>
      <c r="G163" s="13">
        <v>-536</v>
      </c>
      <c r="H163" s="6">
        <v>1.8</v>
      </c>
      <c r="I163" s="6">
        <v>8.16</v>
      </c>
      <c r="J163" s="6"/>
      <c r="K163" s="7"/>
      <c r="N163" s="31"/>
      <c r="O163" s="32" t="s">
        <v>1120</v>
      </c>
      <c r="P163" s="31"/>
      <c r="Q163" s="33"/>
    </row>
    <row r="164" spans="1:17" x14ac:dyDescent="0.3">
      <c r="A164" s="7">
        <v>1.5</v>
      </c>
      <c r="B164" s="7" t="s">
        <v>933</v>
      </c>
      <c r="C164" s="2" t="s">
        <v>1040</v>
      </c>
      <c r="D164" s="2" t="s">
        <v>1041</v>
      </c>
      <c r="E164" s="2" t="s">
        <v>789</v>
      </c>
      <c r="F164" s="2" t="s">
        <v>1042</v>
      </c>
      <c r="G164" s="13">
        <v>-397</v>
      </c>
      <c r="H164" s="6">
        <v>1.5</v>
      </c>
      <c r="I164" s="6">
        <v>6.5</v>
      </c>
      <c r="J164" s="6"/>
      <c r="K164" s="7"/>
      <c r="N164" s="31"/>
      <c r="O164" s="32" t="s">
        <v>946</v>
      </c>
      <c r="P164" s="31"/>
      <c r="Q164" s="33"/>
    </row>
    <row r="165" spans="1:17" x14ac:dyDescent="0.3">
      <c r="A165" s="7">
        <v>1.68</v>
      </c>
      <c r="B165" s="7" t="s">
        <v>933</v>
      </c>
      <c r="C165" s="11" t="s">
        <v>356</v>
      </c>
      <c r="D165" s="7" t="s">
        <v>355</v>
      </c>
      <c r="E165" s="7" t="s">
        <v>354</v>
      </c>
      <c r="F165" s="7" t="s">
        <v>343</v>
      </c>
      <c r="G165" s="13"/>
      <c r="H165" s="6">
        <v>1.68</v>
      </c>
      <c r="I165" s="6">
        <v>7.63</v>
      </c>
      <c r="J165" s="6"/>
      <c r="K165" s="7"/>
      <c r="N165" s="19"/>
      <c r="O165" s="32" t="s">
        <v>1233</v>
      </c>
      <c r="P165" s="19"/>
      <c r="Q165" s="33"/>
    </row>
    <row r="166" spans="1:17" x14ac:dyDescent="0.3">
      <c r="A166" s="7">
        <v>1.2</v>
      </c>
      <c r="B166" s="7" t="s">
        <v>938</v>
      </c>
      <c r="C166" s="11" t="s">
        <v>294</v>
      </c>
      <c r="D166" s="7" t="s">
        <v>982</v>
      </c>
      <c r="E166" s="7" t="s">
        <v>293</v>
      </c>
      <c r="F166" s="7" t="s">
        <v>292</v>
      </c>
      <c r="G166" s="8"/>
      <c r="H166" s="6">
        <v>1.2</v>
      </c>
      <c r="I166" s="6">
        <v>5.68</v>
      </c>
      <c r="J166" s="6"/>
      <c r="K166" s="9"/>
      <c r="L166" s="4"/>
      <c r="M166" s="4"/>
      <c r="N166" s="31"/>
      <c r="O166" s="32" t="s">
        <v>958</v>
      </c>
      <c r="P166" s="19"/>
      <c r="Q166" s="33"/>
    </row>
    <row r="167" spans="1:17" x14ac:dyDescent="0.3">
      <c r="A167" s="7">
        <v>1.728</v>
      </c>
      <c r="B167" s="7" t="s">
        <v>933</v>
      </c>
      <c r="C167" s="11" t="s">
        <v>1021</v>
      </c>
      <c r="D167" s="7" t="s">
        <v>643</v>
      </c>
      <c r="E167" s="7" t="s">
        <v>642</v>
      </c>
      <c r="F167" s="7" t="s">
        <v>644</v>
      </c>
      <c r="G167" s="13">
        <f>300*4.184</f>
        <v>1255.2</v>
      </c>
      <c r="H167" s="6">
        <v>1.63</v>
      </c>
      <c r="I167" s="6">
        <v>7.88</v>
      </c>
      <c r="J167" s="6">
        <v>1.63</v>
      </c>
      <c r="K167" s="7">
        <v>29.9</v>
      </c>
      <c r="N167" s="31" t="s">
        <v>1260</v>
      </c>
      <c r="O167" s="32" t="s">
        <v>1260</v>
      </c>
      <c r="P167" s="31" t="s">
        <v>1260</v>
      </c>
      <c r="Q167" s="33"/>
    </row>
    <row r="168" spans="1:17" x14ac:dyDescent="0.3">
      <c r="A168" s="7">
        <v>1.9359999999999999</v>
      </c>
      <c r="B168" s="7" t="s">
        <v>957</v>
      </c>
      <c r="C168" s="11" t="s">
        <v>380</v>
      </c>
      <c r="D168" s="7" t="s">
        <v>842</v>
      </c>
      <c r="E168" s="7" t="s">
        <v>59</v>
      </c>
      <c r="F168" s="7" t="s">
        <v>843</v>
      </c>
      <c r="G168" s="13">
        <f>36.2*4.184</f>
        <v>151.46080000000001</v>
      </c>
      <c r="H168" s="6">
        <v>1.71</v>
      </c>
      <c r="I168" s="6">
        <v>7.02</v>
      </c>
      <c r="J168" s="6">
        <v>1.71</v>
      </c>
      <c r="K168" s="7">
        <v>25.8</v>
      </c>
      <c r="N168" s="19"/>
      <c r="O168" s="32" t="s">
        <v>1135</v>
      </c>
      <c r="P168" s="31" t="s">
        <v>1135</v>
      </c>
      <c r="Q168" s="33"/>
    </row>
    <row r="169" spans="1:17" x14ac:dyDescent="0.3">
      <c r="A169" s="7">
        <v>1.84</v>
      </c>
      <c r="B169" s="7" t="s">
        <v>933</v>
      </c>
      <c r="C169" s="11" t="s">
        <v>393</v>
      </c>
      <c r="D169" s="7" t="s">
        <v>392</v>
      </c>
      <c r="E169" s="7" t="s">
        <v>70</v>
      </c>
      <c r="F169" s="7" t="s">
        <v>394</v>
      </c>
      <c r="G169" s="13">
        <f>103*4.184</f>
        <v>430.952</v>
      </c>
      <c r="H169" s="6">
        <v>1.81</v>
      </c>
      <c r="I169" s="6">
        <v>8.1999999999999993</v>
      </c>
      <c r="J169" s="6"/>
      <c r="K169" s="7"/>
      <c r="N169" s="19"/>
      <c r="O169" s="32" t="s">
        <v>1146</v>
      </c>
      <c r="P169" s="19"/>
      <c r="Q169" s="33"/>
    </row>
    <row r="170" spans="1:17" x14ac:dyDescent="0.3">
      <c r="A170" s="7">
        <v>1.68</v>
      </c>
      <c r="B170" s="7"/>
      <c r="C170" s="11" t="s">
        <v>466</v>
      </c>
      <c r="D170" s="7" t="s">
        <v>464</v>
      </c>
      <c r="E170" s="7" t="s">
        <v>467</v>
      </c>
      <c r="F170" s="7" t="s">
        <v>465</v>
      </c>
      <c r="G170" s="13">
        <f>-871.9*318.2/1000</f>
        <v>-277.43857999999994</v>
      </c>
      <c r="H170" s="6">
        <v>1.65</v>
      </c>
      <c r="I170" s="6">
        <v>7.6</v>
      </c>
      <c r="J170" s="6"/>
      <c r="K170" s="7"/>
      <c r="N170" s="19"/>
      <c r="O170" s="32" t="s">
        <v>1253</v>
      </c>
      <c r="P170" s="19"/>
      <c r="Q170" s="33"/>
    </row>
    <row r="171" spans="1:17" x14ac:dyDescent="0.3">
      <c r="A171" s="7">
        <v>1.82</v>
      </c>
      <c r="B171" s="7" t="s">
        <v>933</v>
      </c>
      <c r="C171" s="11" t="s">
        <v>847</v>
      </c>
      <c r="D171" s="7" t="s">
        <v>846</v>
      </c>
      <c r="E171" s="7" t="s">
        <v>844</v>
      </c>
      <c r="F171" s="7" t="s">
        <v>845</v>
      </c>
      <c r="G171" s="13"/>
      <c r="H171" s="6">
        <v>1.65</v>
      </c>
      <c r="I171" s="6">
        <v>7.34</v>
      </c>
      <c r="J171" s="6"/>
      <c r="K171" s="7"/>
      <c r="N171" s="19"/>
      <c r="O171" s="32" t="s">
        <v>944</v>
      </c>
      <c r="P171" s="19"/>
      <c r="Q171" s="33"/>
    </row>
    <row r="172" spans="1:17" x14ac:dyDescent="0.3">
      <c r="A172" s="7">
        <v>1.69</v>
      </c>
      <c r="B172" s="7"/>
      <c r="C172" s="11" t="s">
        <v>411</v>
      </c>
      <c r="D172" s="7" t="s">
        <v>412</v>
      </c>
      <c r="E172" s="7" t="s">
        <v>403</v>
      </c>
      <c r="F172" s="7" t="s">
        <v>402</v>
      </c>
      <c r="G172" s="13">
        <v>-102.6</v>
      </c>
      <c r="H172" s="6">
        <v>1.58</v>
      </c>
      <c r="I172" s="6">
        <v>6.6</v>
      </c>
      <c r="J172" s="6"/>
      <c r="K172" s="7"/>
      <c r="N172" s="19"/>
      <c r="O172" s="32" t="s">
        <v>1171</v>
      </c>
      <c r="P172" s="19"/>
      <c r="Q172" s="33"/>
    </row>
    <row r="173" spans="1:17" x14ac:dyDescent="0.3">
      <c r="A173" s="7">
        <v>1.6</v>
      </c>
      <c r="B173" s="7"/>
      <c r="C173" s="11" t="s">
        <v>326</v>
      </c>
      <c r="D173" s="7" t="s">
        <v>324</v>
      </c>
      <c r="E173" s="7" t="s">
        <v>325</v>
      </c>
      <c r="F173" s="7" t="s">
        <v>323</v>
      </c>
      <c r="G173" s="13">
        <v>-200.8</v>
      </c>
      <c r="H173" s="6">
        <v>1.58</v>
      </c>
      <c r="I173" s="6">
        <v>6.52</v>
      </c>
      <c r="J173" s="6"/>
      <c r="K173" s="7"/>
      <c r="N173" s="19"/>
      <c r="O173" s="32" t="s">
        <v>1261</v>
      </c>
      <c r="P173" s="19"/>
      <c r="Q173" s="33"/>
    </row>
    <row r="174" spans="1:17" x14ac:dyDescent="0.3">
      <c r="A174" s="7">
        <v>1.6</v>
      </c>
      <c r="B174" s="7"/>
      <c r="C174" s="11" t="s">
        <v>333</v>
      </c>
      <c r="D174" s="7" t="s">
        <v>463</v>
      </c>
      <c r="E174" s="7" t="s">
        <v>332</v>
      </c>
      <c r="F174" s="7" t="s">
        <v>331</v>
      </c>
      <c r="G174" s="13">
        <v>-278</v>
      </c>
      <c r="H174" s="6">
        <v>1.6</v>
      </c>
      <c r="I174" s="6">
        <v>6.82</v>
      </c>
      <c r="J174" s="6"/>
      <c r="K174" s="7"/>
      <c r="N174" s="19"/>
      <c r="O174" s="32" t="s">
        <v>1253</v>
      </c>
      <c r="P174" s="19"/>
      <c r="Q174" s="33"/>
    </row>
    <row r="175" spans="1:17" x14ac:dyDescent="0.3">
      <c r="A175" s="7">
        <v>1.63</v>
      </c>
      <c r="B175" s="7" t="s">
        <v>933</v>
      </c>
      <c r="C175" s="2" t="s">
        <v>1036</v>
      </c>
      <c r="D175" s="2" t="s">
        <v>1037</v>
      </c>
      <c r="E175" s="2" t="s">
        <v>1038</v>
      </c>
      <c r="F175" s="2" t="s">
        <v>1039</v>
      </c>
      <c r="G175" s="13">
        <v>0</v>
      </c>
      <c r="H175" s="6">
        <v>1.1000000000000001</v>
      </c>
      <c r="I175" s="6">
        <v>6.2</v>
      </c>
      <c r="J175" s="6"/>
      <c r="K175" s="7"/>
      <c r="N175" s="31"/>
      <c r="O175" s="32" t="s">
        <v>946</v>
      </c>
      <c r="P175" s="31"/>
      <c r="Q175" s="33"/>
    </row>
    <row r="176" spans="1:17" x14ac:dyDescent="0.3">
      <c r="A176" s="7">
        <v>1.81</v>
      </c>
      <c r="B176" s="7" t="s">
        <v>933</v>
      </c>
      <c r="C176" s="2" t="s">
        <v>1071</v>
      </c>
      <c r="D176" s="2" t="s">
        <v>1072</v>
      </c>
      <c r="E176" s="2" t="s">
        <v>1073</v>
      </c>
      <c r="F176" s="2" t="s">
        <v>1074</v>
      </c>
      <c r="G176" s="14">
        <v>-340.2</v>
      </c>
      <c r="H176" s="6">
        <v>1.74</v>
      </c>
      <c r="I176" s="6">
        <v>8.5299999999999994</v>
      </c>
      <c r="J176" s="6"/>
      <c r="K176" s="7"/>
      <c r="N176" s="31"/>
      <c r="O176" s="32" t="s">
        <v>1131</v>
      </c>
      <c r="P176" s="31"/>
      <c r="Q176" s="33"/>
    </row>
    <row r="177" spans="1:17" x14ac:dyDescent="0.3">
      <c r="A177" s="7"/>
      <c r="B177" s="7" t="s">
        <v>933</v>
      </c>
      <c r="C177" s="11" t="s">
        <v>851</v>
      </c>
      <c r="D177" s="7" t="s">
        <v>849</v>
      </c>
      <c r="E177" s="7" t="s">
        <v>850</v>
      </c>
      <c r="F177" s="7" t="s">
        <v>848</v>
      </c>
      <c r="G177" s="13"/>
      <c r="H177" s="6">
        <v>1.6</v>
      </c>
      <c r="I177" s="6">
        <v>8</v>
      </c>
      <c r="J177" s="6"/>
      <c r="K177" s="7"/>
      <c r="N177" s="19"/>
      <c r="O177" s="32" t="s">
        <v>944</v>
      </c>
      <c r="P177" s="19"/>
      <c r="Q177" s="33"/>
    </row>
    <row r="178" spans="1:17" x14ac:dyDescent="0.3">
      <c r="A178" s="7"/>
      <c r="B178" s="7" t="s">
        <v>933</v>
      </c>
      <c r="C178" s="11" t="s">
        <v>1022</v>
      </c>
      <c r="D178" s="7" t="s">
        <v>853</v>
      </c>
      <c r="E178" s="7" t="s">
        <v>854</v>
      </c>
      <c r="F178" s="7" t="s">
        <v>852</v>
      </c>
      <c r="G178" s="13"/>
      <c r="H178" s="6">
        <v>1.53</v>
      </c>
      <c r="I178" s="6">
        <v>6.6</v>
      </c>
      <c r="J178" s="6"/>
      <c r="K178" s="7"/>
      <c r="N178" s="19"/>
      <c r="O178" s="32" t="s">
        <v>944</v>
      </c>
      <c r="P178" s="19"/>
      <c r="Q178" s="33"/>
    </row>
    <row r="179" spans="1:17" x14ac:dyDescent="0.3">
      <c r="A179" s="7">
        <v>1.6</v>
      </c>
      <c r="B179" s="7" t="s">
        <v>933</v>
      </c>
      <c r="C179" s="11" t="s">
        <v>858</v>
      </c>
      <c r="D179" s="7" t="s">
        <v>856</v>
      </c>
      <c r="E179" s="7" t="s">
        <v>857</v>
      </c>
      <c r="F179" s="7" t="s">
        <v>855</v>
      </c>
      <c r="G179" s="13"/>
      <c r="H179" s="6">
        <v>1.52</v>
      </c>
      <c r="I179" s="6">
        <v>6.4</v>
      </c>
      <c r="J179" s="6"/>
      <c r="K179" s="7"/>
      <c r="N179" s="19"/>
      <c r="O179" s="32" t="s">
        <v>944</v>
      </c>
      <c r="P179" s="19"/>
      <c r="Q179" s="33"/>
    </row>
    <row r="180" spans="1:17" x14ac:dyDescent="0.3">
      <c r="A180" s="7">
        <v>1.88</v>
      </c>
      <c r="B180" s="7" t="s">
        <v>977</v>
      </c>
      <c r="C180" s="11" t="s">
        <v>347</v>
      </c>
      <c r="D180" s="7" t="s">
        <v>984</v>
      </c>
      <c r="E180" s="7" t="s">
        <v>346</v>
      </c>
      <c r="F180" s="7" t="s">
        <v>341</v>
      </c>
      <c r="G180" s="13">
        <v>238</v>
      </c>
      <c r="H180" s="6">
        <v>1.54</v>
      </c>
      <c r="I180" s="6">
        <v>7.7</v>
      </c>
      <c r="J180" s="6"/>
      <c r="K180" s="7"/>
      <c r="N180" s="31" t="s">
        <v>1158</v>
      </c>
      <c r="O180" s="32" t="s">
        <v>944</v>
      </c>
      <c r="P180" s="19"/>
      <c r="Q180" s="33"/>
    </row>
    <row r="181" spans="1:17" x14ac:dyDescent="0.3">
      <c r="A181" s="7">
        <v>1.621</v>
      </c>
      <c r="B181" s="7" t="s">
        <v>937</v>
      </c>
      <c r="C181" s="11" t="s">
        <v>350</v>
      </c>
      <c r="D181" s="7" t="s">
        <v>349</v>
      </c>
      <c r="E181" s="7" t="s">
        <v>348</v>
      </c>
      <c r="F181" s="7" t="s">
        <v>342</v>
      </c>
      <c r="G181" s="13">
        <v>-640</v>
      </c>
      <c r="H181" s="6">
        <v>1.62</v>
      </c>
      <c r="I181" s="6">
        <v>7.76</v>
      </c>
      <c r="J181" s="6"/>
      <c r="K181" s="7"/>
      <c r="N181" s="19"/>
      <c r="O181" s="32" t="s">
        <v>1262</v>
      </c>
      <c r="P181" s="19"/>
      <c r="Q181" s="33"/>
    </row>
    <row r="182" spans="1:17" x14ac:dyDescent="0.3">
      <c r="A182" s="7">
        <v>1.61</v>
      </c>
      <c r="B182" s="7" t="s">
        <v>933</v>
      </c>
      <c r="C182" s="11" t="s">
        <v>1023</v>
      </c>
      <c r="D182" s="7" t="s">
        <v>983</v>
      </c>
      <c r="E182" s="7" t="s">
        <v>499</v>
      </c>
      <c r="F182" s="7" t="s">
        <v>498</v>
      </c>
      <c r="G182" s="13">
        <v>-586</v>
      </c>
      <c r="H182" s="6">
        <v>1.57</v>
      </c>
      <c r="I182" s="6">
        <v>7.36</v>
      </c>
      <c r="J182" s="6"/>
      <c r="K182" s="7"/>
      <c r="M182" s="2">
        <v>1030</v>
      </c>
      <c r="N182" s="19"/>
      <c r="O182" s="32" t="s">
        <v>944</v>
      </c>
      <c r="P182" s="19"/>
      <c r="Q182" s="33" t="s">
        <v>944</v>
      </c>
    </row>
    <row r="183" spans="1:17" x14ac:dyDescent="0.3">
      <c r="A183" s="7">
        <v>1.75</v>
      </c>
      <c r="B183" s="7"/>
      <c r="C183" s="11" t="s">
        <v>862</v>
      </c>
      <c r="D183" s="7" t="s">
        <v>861</v>
      </c>
      <c r="E183" s="7" t="s">
        <v>860</v>
      </c>
      <c r="F183" s="7" t="s">
        <v>859</v>
      </c>
      <c r="G183" s="13">
        <v>28.9</v>
      </c>
      <c r="H183" s="6">
        <v>1.6</v>
      </c>
      <c r="I183" s="6">
        <v>6.43</v>
      </c>
      <c r="J183" s="6"/>
      <c r="K183" s="7"/>
      <c r="N183" s="19"/>
      <c r="O183" s="32" t="s">
        <v>944</v>
      </c>
      <c r="P183" s="19"/>
      <c r="Q183" s="33"/>
    </row>
    <row r="184" spans="1:17" x14ac:dyDescent="0.3">
      <c r="A184" s="7">
        <v>1.61</v>
      </c>
      <c r="B184" s="7"/>
      <c r="C184" s="11" t="s">
        <v>507</v>
      </c>
      <c r="D184" s="7" t="s">
        <v>506</v>
      </c>
      <c r="E184" s="7" t="s">
        <v>505</v>
      </c>
      <c r="F184" s="7" t="s">
        <v>504</v>
      </c>
      <c r="G184" s="13"/>
      <c r="H184" s="6">
        <v>1.6</v>
      </c>
      <c r="I184" s="6">
        <v>6.38</v>
      </c>
      <c r="J184" s="6"/>
      <c r="K184" s="7"/>
      <c r="N184" s="19"/>
      <c r="O184" s="32" t="s">
        <v>1234</v>
      </c>
      <c r="P184" s="19"/>
      <c r="Q184" s="33"/>
    </row>
    <row r="185" spans="1:17" x14ac:dyDescent="0.3">
      <c r="A185" s="7">
        <v>1.63</v>
      </c>
      <c r="B185" s="7"/>
      <c r="C185" s="11" t="s">
        <v>338</v>
      </c>
      <c r="D185" s="7" t="s">
        <v>863</v>
      </c>
      <c r="E185" s="7" t="s">
        <v>339</v>
      </c>
      <c r="F185" s="7" t="s">
        <v>337</v>
      </c>
      <c r="G185" s="13">
        <v>-137</v>
      </c>
      <c r="H185" s="6">
        <v>1.54</v>
      </c>
      <c r="I185" s="6">
        <v>7.2</v>
      </c>
      <c r="J185" s="6"/>
      <c r="K185" s="7"/>
      <c r="L185" s="2">
        <v>1.59</v>
      </c>
      <c r="M185" s="2">
        <v>1053</v>
      </c>
      <c r="N185" s="31" t="s">
        <v>941</v>
      </c>
      <c r="O185" s="32" t="s">
        <v>1263</v>
      </c>
      <c r="P185" s="19"/>
      <c r="Q185" s="33" t="s">
        <v>941</v>
      </c>
    </row>
    <row r="186" spans="1:17" x14ac:dyDescent="0.3">
      <c r="A186" s="7">
        <v>1.62</v>
      </c>
      <c r="B186" s="7" t="s">
        <v>933</v>
      </c>
      <c r="C186" s="11" t="s">
        <v>1024</v>
      </c>
      <c r="D186" s="7" t="s">
        <v>693</v>
      </c>
      <c r="E186" s="7" t="s">
        <v>689</v>
      </c>
      <c r="F186" s="7" t="s">
        <v>690</v>
      </c>
      <c r="G186" s="13">
        <v>-682</v>
      </c>
      <c r="H186" s="6">
        <v>1.42</v>
      </c>
      <c r="I186" s="6">
        <v>7</v>
      </c>
      <c r="J186" s="6"/>
      <c r="K186" s="7"/>
      <c r="N186" s="19"/>
      <c r="O186" s="32" t="s">
        <v>944</v>
      </c>
      <c r="P186" s="19"/>
      <c r="Q186" s="33"/>
    </row>
    <row r="187" spans="1:17" x14ac:dyDescent="0.3">
      <c r="A187" s="7">
        <v>1.655</v>
      </c>
      <c r="B187" s="7"/>
      <c r="C187" s="11" t="s">
        <v>1025</v>
      </c>
      <c r="D187" s="7" t="s">
        <v>691</v>
      </c>
      <c r="E187" s="7" t="s">
        <v>692</v>
      </c>
      <c r="F187" s="7" t="s">
        <v>497</v>
      </c>
      <c r="G187" s="13">
        <v>-636</v>
      </c>
      <c r="H187" s="6">
        <v>1.58</v>
      </c>
      <c r="I187" s="6">
        <v>7.43</v>
      </c>
      <c r="J187" s="6"/>
      <c r="K187" s="7"/>
      <c r="N187" s="19"/>
      <c r="O187" s="32" t="s">
        <v>1264</v>
      </c>
      <c r="P187" s="19"/>
      <c r="Q187" s="33"/>
    </row>
    <row r="188" spans="1:17" x14ac:dyDescent="0.3">
      <c r="A188" s="7">
        <v>1.63</v>
      </c>
      <c r="B188" s="7"/>
      <c r="C188" s="11" t="s">
        <v>318</v>
      </c>
      <c r="D188" s="7" t="s">
        <v>317</v>
      </c>
      <c r="E188" s="7" t="s">
        <v>864</v>
      </c>
      <c r="F188" s="7" t="s">
        <v>316</v>
      </c>
      <c r="G188" s="13">
        <v>-979</v>
      </c>
      <c r="H188" s="6">
        <v>1.59</v>
      </c>
      <c r="I188" s="6">
        <v>7.41</v>
      </c>
      <c r="J188" s="6"/>
      <c r="K188" s="7"/>
      <c r="M188" s="2">
        <v>1092</v>
      </c>
      <c r="N188" s="19"/>
      <c r="O188" s="32" t="s">
        <v>1265</v>
      </c>
      <c r="P188" s="19"/>
      <c r="Q188" s="33" t="s">
        <v>972</v>
      </c>
    </row>
    <row r="189" spans="1:17" x14ac:dyDescent="0.3">
      <c r="A189" s="7">
        <v>1.84</v>
      </c>
      <c r="B189" s="7" t="s">
        <v>933</v>
      </c>
      <c r="C189" s="11" t="s">
        <v>538</v>
      </c>
      <c r="D189" s="7" t="s">
        <v>113</v>
      </c>
      <c r="E189" s="7" t="s">
        <v>112</v>
      </c>
      <c r="F189" s="7" t="s">
        <v>114</v>
      </c>
      <c r="G189" s="13">
        <f>106*4.184</f>
        <v>443.50400000000002</v>
      </c>
      <c r="H189" s="6">
        <v>1.78</v>
      </c>
      <c r="I189" s="6">
        <v>7.43</v>
      </c>
      <c r="J189" s="6"/>
      <c r="K189" s="7"/>
      <c r="N189" s="31" t="s">
        <v>1266</v>
      </c>
      <c r="O189" s="32" t="s">
        <v>1266</v>
      </c>
      <c r="P189" s="19"/>
      <c r="Q189" s="33"/>
    </row>
    <row r="190" spans="1:17" x14ac:dyDescent="0.3">
      <c r="A190" s="7">
        <v>1.74</v>
      </c>
      <c r="B190" s="7" t="s">
        <v>933</v>
      </c>
      <c r="C190" s="11" t="s">
        <v>865</v>
      </c>
      <c r="D190" s="7" t="s">
        <v>321</v>
      </c>
      <c r="E190" s="7" t="s">
        <v>322</v>
      </c>
      <c r="F190" s="7" t="s">
        <v>319</v>
      </c>
      <c r="G190" s="13">
        <f>16.3*4.184</f>
        <v>68.199200000000005</v>
      </c>
      <c r="H190" s="6">
        <v>1.6</v>
      </c>
      <c r="I190" s="6">
        <v>7.1</v>
      </c>
      <c r="J190" s="6"/>
      <c r="K190" s="7"/>
      <c r="N190" s="19"/>
      <c r="O190" s="32" t="s">
        <v>945</v>
      </c>
      <c r="P190" s="19"/>
      <c r="Q190" s="33"/>
    </row>
    <row r="191" spans="1:17" x14ac:dyDescent="0.3">
      <c r="A191" s="7">
        <v>1.8</v>
      </c>
      <c r="B191" s="7" t="s">
        <v>933</v>
      </c>
      <c r="C191" s="11" t="s">
        <v>401</v>
      </c>
      <c r="D191" s="7" t="s">
        <v>399</v>
      </c>
      <c r="E191" s="7" t="s">
        <v>400</v>
      </c>
      <c r="F191" s="7" t="s">
        <v>398</v>
      </c>
      <c r="G191" s="13">
        <v>11.5</v>
      </c>
      <c r="H191" s="6">
        <v>1.65</v>
      </c>
      <c r="I191" s="6">
        <v>7.18</v>
      </c>
      <c r="J191" s="6"/>
      <c r="K191" s="7"/>
      <c r="N191" s="19"/>
      <c r="O191" s="32" t="s">
        <v>944</v>
      </c>
      <c r="P191" s="19"/>
      <c r="Q191" s="33"/>
    </row>
    <row r="192" spans="1:17" x14ac:dyDescent="0.3">
      <c r="A192" s="7">
        <v>1.85</v>
      </c>
      <c r="B192" s="7" t="s">
        <v>937</v>
      </c>
      <c r="C192" s="11" t="s">
        <v>210</v>
      </c>
      <c r="D192" s="7" t="s">
        <v>209</v>
      </c>
      <c r="E192" s="7" t="s">
        <v>81</v>
      </c>
      <c r="F192" s="7" t="s">
        <v>50</v>
      </c>
      <c r="G192" s="13">
        <f>111*4.184</f>
        <v>464.42400000000004</v>
      </c>
      <c r="H192" s="6">
        <v>1.85</v>
      </c>
      <c r="I192" s="6">
        <v>7.25</v>
      </c>
      <c r="J192" s="6">
        <v>1.85</v>
      </c>
      <c r="K192" s="7">
        <v>26.3</v>
      </c>
      <c r="L192" s="2">
        <v>1.74</v>
      </c>
      <c r="M192" s="2">
        <v>960</v>
      </c>
      <c r="N192" s="19"/>
      <c r="O192" s="32" t="s">
        <v>1267</v>
      </c>
      <c r="P192" s="31" t="s">
        <v>1327</v>
      </c>
      <c r="Q192" s="33" t="s">
        <v>985</v>
      </c>
    </row>
    <row r="193" spans="1:17" x14ac:dyDescent="0.3">
      <c r="A193" s="7">
        <v>1.7030000000000001</v>
      </c>
      <c r="B193" s="7"/>
      <c r="C193" s="11" t="s">
        <v>190</v>
      </c>
      <c r="D193" s="7" t="s">
        <v>189</v>
      </c>
      <c r="E193" s="7" t="s">
        <v>169</v>
      </c>
      <c r="F193" s="7" t="s">
        <v>188</v>
      </c>
      <c r="G193" s="13">
        <v>289.5</v>
      </c>
      <c r="H193" s="6">
        <v>1.6</v>
      </c>
      <c r="I193" s="6">
        <v>7.3109999999999999</v>
      </c>
      <c r="J193" s="6">
        <v>1.6</v>
      </c>
      <c r="K193" s="7">
        <v>20.5</v>
      </c>
      <c r="N193" s="19"/>
      <c r="O193" s="32" t="s">
        <v>1268</v>
      </c>
      <c r="P193" s="31" t="s">
        <v>985</v>
      </c>
      <c r="Q193" s="33"/>
    </row>
    <row r="194" spans="1:17" x14ac:dyDescent="0.3">
      <c r="A194" s="7">
        <v>1.78</v>
      </c>
      <c r="B194" s="7" t="s">
        <v>937</v>
      </c>
      <c r="C194" s="11" t="s">
        <v>335</v>
      </c>
      <c r="D194" s="7" t="s">
        <v>336</v>
      </c>
      <c r="E194" s="7" t="s">
        <v>320</v>
      </c>
      <c r="F194" s="7" t="s">
        <v>334</v>
      </c>
      <c r="G194" s="13">
        <v>33</v>
      </c>
      <c r="H194" s="6">
        <v>1.64</v>
      </c>
      <c r="I194" s="6">
        <v>7.21</v>
      </c>
      <c r="J194" s="6"/>
      <c r="K194" s="7"/>
      <c r="L194" s="2">
        <v>1.65</v>
      </c>
      <c r="M194" s="2">
        <v>1080</v>
      </c>
      <c r="N194" s="19"/>
      <c r="O194" s="32" t="s">
        <v>1269</v>
      </c>
      <c r="P194" s="19"/>
      <c r="Q194" s="33" t="s">
        <v>945</v>
      </c>
    </row>
    <row r="195" spans="1:17" x14ac:dyDescent="0.3">
      <c r="A195" s="7">
        <v>1.68</v>
      </c>
      <c r="B195" s="7" t="s">
        <v>933</v>
      </c>
      <c r="C195" s="11" t="s">
        <v>868</v>
      </c>
      <c r="D195" s="7" t="s">
        <v>869</v>
      </c>
      <c r="E195" s="7" t="s">
        <v>867</v>
      </c>
      <c r="F195" s="7" t="s">
        <v>866</v>
      </c>
      <c r="G195" s="13">
        <v>-168.1</v>
      </c>
      <c r="H195" s="6">
        <v>1.5</v>
      </c>
      <c r="I195" s="6">
        <v>6.26</v>
      </c>
      <c r="J195" s="6"/>
      <c r="K195" s="7"/>
      <c r="N195" s="31" t="s">
        <v>1311</v>
      </c>
      <c r="O195" s="32" t="s">
        <v>944</v>
      </c>
      <c r="P195" s="19"/>
      <c r="Q195" s="33"/>
    </row>
    <row r="196" spans="1:17" x14ac:dyDescent="0.3">
      <c r="A196" s="7">
        <v>1.79</v>
      </c>
      <c r="B196" s="7"/>
      <c r="C196" s="11" t="s">
        <v>180</v>
      </c>
      <c r="D196" s="7" t="s">
        <v>986</v>
      </c>
      <c r="E196" s="7" t="s">
        <v>144</v>
      </c>
      <c r="F196" s="7" t="s">
        <v>181</v>
      </c>
      <c r="G196" s="13">
        <f>-3.6*4.184</f>
        <v>-15.0624</v>
      </c>
      <c r="H196" s="6">
        <v>1.76</v>
      </c>
      <c r="I196" s="6">
        <v>7.4</v>
      </c>
      <c r="J196" s="6"/>
      <c r="K196" s="7"/>
      <c r="L196" s="2">
        <v>1.79</v>
      </c>
      <c r="M196" s="2">
        <v>1077</v>
      </c>
      <c r="N196" s="19"/>
      <c r="O196" s="32" t="s">
        <v>1270</v>
      </c>
      <c r="P196" s="19"/>
      <c r="Q196" s="33" t="s">
        <v>1332</v>
      </c>
    </row>
    <row r="197" spans="1:17" x14ac:dyDescent="0.3">
      <c r="A197" s="7"/>
      <c r="B197" s="7" t="s">
        <v>933</v>
      </c>
      <c r="C197" s="11" t="s">
        <v>873</v>
      </c>
      <c r="D197" s="7" t="s">
        <v>872</v>
      </c>
      <c r="E197" s="7" t="s">
        <v>871</v>
      </c>
      <c r="F197" s="7" t="s">
        <v>870</v>
      </c>
      <c r="G197" s="13"/>
      <c r="H197" s="6">
        <v>1.43</v>
      </c>
      <c r="I197" s="6">
        <v>6.8</v>
      </c>
      <c r="J197" s="6"/>
      <c r="K197" s="7"/>
      <c r="N197" s="19"/>
      <c r="O197" s="32" t="s">
        <v>944</v>
      </c>
      <c r="P197" s="19"/>
      <c r="Q197" s="33"/>
    </row>
    <row r="198" spans="1:17" x14ac:dyDescent="0.3">
      <c r="A198" s="7">
        <v>1.74</v>
      </c>
      <c r="B198" s="7"/>
      <c r="C198" s="11" t="s">
        <v>192</v>
      </c>
      <c r="D198" s="7" t="s">
        <v>191</v>
      </c>
      <c r="E198" s="7" t="s">
        <v>33</v>
      </c>
      <c r="F198" s="7" t="s">
        <v>34</v>
      </c>
      <c r="G198" s="13">
        <f>18.7*4.184</f>
        <v>78.240799999999993</v>
      </c>
      <c r="H198" s="6">
        <v>1.74</v>
      </c>
      <c r="I198" s="6">
        <v>7.13</v>
      </c>
      <c r="J198" s="6">
        <v>1.655</v>
      </c>
      <c r="K198" s="7">
        <v>21.5</v>
      </c>
      <c r="L198" s="2">
        <v>1.649</v>
      </c>
      <c r="M198" s="2">
        <v>1059</v>
      </c>
      <c r="N198" s="19"/>
      <c r="O198" s="32" t="s">
        <v>1271</v>
      </c>
      <c r="P198" s="31" t="s">
        <v>1328</v>
      </c>
      <c r="Q198" s="33" t="s">
        <v>1334</v>
      </c>
    </row>
    <row r="199" spans="1:17" x14ac:dyDescent="0.3">
      <c r="A199" s="7">
        <v>1.55</v>
      </c>
      <c r="B199" s="7" t="s">
        <v>937</v>
      </c>
      <c r="C199" s="11" t="s">
        <v>697</v>
      </c>
      <c r="D199" s="7" t="s">
        <v>695</v>
      </c>
      <c r="E199" s="7" t="s">
        <v>696</v>
      </c>
      <c r="F199" s="7" t="s">
        <v>694</v>
      </c>
      <c r="G199" s="13">
        <v>-445</v>
      </c>
      <c r="H199" s="6">
        <v>1.55</v>
      </c>
      <c r="I199" s="6">
        <v>6.65</v>
      </c>
      <c r="J199" s="6"/>
      <c r="K199" s="7"/>
      <c r="N199" s="19"/>
      <c r="O199" s="32" t="s">
        <v>1240</v>
      </c>
      <c r="P199" s="19"/>
      <c r="Q199" s="33"/>
    </row>
    <row r="200" spans="1:17" x14ac:dyDescent="0.3">
      <c r="A200" s="7">
        <v>1.7</v>
      </c>
      <c r="B200" s="7" t="s">
        <v>933</v>
      </c>
      <c r="C200" s="11" t="s">
        <v>659</v>
      </c>
      <c r="D200" s="7" t="s">
        <v>660</v>
      </c>
      <c r="E200" s="7" t="s">
        <v>658</v>
      </c>
      <c r="F200" s="7" t="s">
        <v>657</v>
      </c>
      <c r="G200" s="13">
        <v>136.80000000000001</v>
      </c>
      <c r="H200" s="6">
        <v>1.7</v>
      </c>
      <c r="I200" s="6">
        <v>7.25</v>
      </c>
      <c r="J200" s="6"/>
      <c r="K200" s="7"/>
      <c r="N200" s="19"/>
      <c r="O200" s="32" t="s">
        <v>944</v>
      </c>
      <c r="P200" s="19"/>
      <c r="Q200" s="33"/>
    </row>
    <row r="201" spans="1:17" x14ac:dyDescent="0.3">
      <c r="A201" s="7"/>
      <c r="B201" s="7" t="s">
        <v>933</v>
      </c>
      <c r="C201" s="11" t="s">
        <v>990</v>
      </c>
      <c r="D201" s="7" t="s">
        <v>991</v>
      </c>
      <c r="E201" s="7" t="s">
        <v>992</v>
      </c>
      <c r="F201" s="7" t="s">
        <v>993</v>
      </c>
      <c r="G201" s="13">
        <v>380.2</v>
      </c>
      <c r="H201" s="6">
        <v>1.5</v>
      </c>
      <c r="I201" s="6">
        <v>6.06</v>
      </c>
      <c r="J201" s="6"/>
      <c r="K201" s="7"/>
      <c r="N201" s="31" t="s">
        <v>1272</v>
      </c>
      <c r="O201" s="32" t="s">
        <v>1272</v>
      </c>
      <c r="P201" s="31"/>
      <c r="Q201" s="33"/>
    </row>
    <row r="202" spans="1:17" x14ac:dyDescent="0.3">
      <c r="A202" s="7">
        <v>1.58</v>
      </c>
      <c r="B202" s="7"/>
      <c r="C202" s="11" t="s">
        <v>496</v>
      </c>
      <c r="D202" s="7" t="s">
        <v>495</v>
      </c>
      <c r="E202" s="7" t="s">
        <v>149</v>
      </c>
      <c r="F202" s="7" t="s">
        <v>494</v>
      </c>
      <c r="G202" s="13"/>
      <c r="H202" s="6">
        <v>1.58</v>
      </c>
      <c r="I202" s="6">
        <v>7.71</v>
      </c>
      <c r="J202" s="6"/>
      <c r="K202" s="7"/>
      <c r="N202" s="19"/>
      <c r="O202" s="32" t="s">
        <v>1234</v>
      </c>
      <c r="P202" s="19"/>
      <c r="Q202" s="33"/>
    </row>
    <row r="203" spans="1:17" x14ac:dyDescent="0.3">
      <c r="A203" s="7">
        <v>1.837</v>
      </c>
      <c r="B203" s="7" t="s">
        <v>977</v>
      </c>
      <c r="C203" s="11" t="s">
        <v>231</v>
      </c>
      <c r="D203" s="7" t="s">
        <v>874</v>
      </c>
      <c r="E203" s="7" t="s">
        <v>159</v>
      </c>
      <c r="F203" s="7" t="s">
        <v>230</v>
      </c>
      <c r="G203" s="8">
        <v>108</v>
      </c>
      <c r="H203" s="6">
        <v>1.837</v>
      </c>
      <c r="I203" s="6">
        <v>8.23</v>
      </c>
      <c r="J203" s="6"/>
      <c r="K203" s="9"/>
      <c r="N203" s="31" t="s">
        <v>1159</v>
      </c>
      <c r="O203" s="32" t="s">
        <v>1226</v>
      </c>
      <c r="P203" s="19"/>
      <c r="Q203" s="33"/>
    </row>
    <row r="204" spans="1:17" x14ac:dyDescent="0.3">
      <c r="A204" s="7">
        <v>1.76</v>
      </c>
      <c r="B204" s="7"/>
      <c r="C204" s="11" t="s">
        <v>382</v>
      </c>
      <c r="D204" s="7" t="s">
        <v>381</v>
      </c>
      <c r="E204" s="7" t="s">
        <v>64</v>
      </c>
      <c r="F204" s="7" t="s">
        <v>383</v>
      </c>
      <c r="G204" s="13">
        <f>19.2*4.184</f>
        <v>80.332800000000006</v>
      </c>
      <c r="H204" s="6">
        <v>1.6950000000000001</v>
      </c>
      <c r="I204" s="6">
        <v>7.2539999999999996</v>
      </c>
      <c r="J204" s="6"/>
      <c r="K204" s="7"/>
      <c r="N204" s="19"/>
      <c r="O204" s="32" t="s">
        <v>1273</v>
      </c>
      <c r="P204" s="19"/>
      <c r="Q204" s="33"/>
    </row>
    <row r="205" spans="1:17" x14ac:dyDescent="0.3">
      <c r="A205" s="7">
        <v>1.78</v>
      </c>
      <c r="B205" s="7"/>
      <c r="C205" s="11" t="s">
        <v>199</v>
      </c>
      <c r="D205" s="7" t="s">
        <v>198</v>
      </c>
      <c r="E205" s="7" t="s">
        <v>196</v>
      </c>
      <c r="F205" s="7" t="s">
        <v>197</v>
      </c>
      <c r="G205" s="13">
        <v>132.19999999999999</v>
      </c>
      <c r="H205" s="6">
        <v>1.78</v>
      </c>
      <c r="I205" s="6">
        <v>7.56</v>
      </c>
      <c r="J205" s="6"/>
      <c r="K205" s="7"/>
      <c r="N205" s="19"/>
      <c r="O205" s="32" t="s">
        <v>1274</v>
      </c>
      <c r="P205" s="19"/>
      <c r="Q205" s="33"/>
    </row>
    <row r="206" spans="1:17" x14ac:dyDescent="0.3">
      <c r="A206" s="7">
        <v>1.82</v>
      </c>
      <c r="B206" s="7"/>
      <c r="C206" s="11" t="s">
        <v>299</v>
      </c>
      <c r="D206" s="7" t="s">
        <v>988</v>
      </c>
      <c r="E206" s="7" t="s">
        <v>298</v>
      </c>
      <c r="F206" s="7" t="s">
        <v>259</v>
      </c>
      <c r="G206" s="8">
        <v>94.6</v>
      </c>
      <c r="H206" s="6">
        <v>1.8</v>
      </c>
      <c r="I206" s="6">
        <v>7.33</v>
      </c>
      <c r="J206" s="6"/>
      <c r="K206" s="9"/>
      <c r="L206" s="2">
        <v>1.49</v>
      </c>
      <c r="M206" s="2">
        <v>1039</v>
      </c>
      <c r="N206" s="31"/>
      <c r="O206" s="32" t="s">
        <v>1275</v>
      </c>
      <c r="P206" s="19"/>
      <c r="Q206" s="33" t="s">
        <v>1332</v>
      </c>
    </row>
    <row r="207" spans="1:17" x14ac:dyDescent="0.3">
      <c r="A207" s="7">
        <v>1.75</v>
      </c>
      <c r="B207" s="7" t="s">
        <v>933</v>
      </c>
      <c r="C207" s="2" t="s">
        <v>1047</v>
      </c>
      <c r="D207" s="2" t="s">
        <v>1048</v>
      </c>
      <c r="E207" s="2" t="s">
        <v>1049</v>
      </c>
      <c r="F207" s="2" t="s">
        <v>1050</v>
      </c>
      <c r="G207" s="8">
        <v>318</v>
      </c>
      <c r="H207" s="6">
        <v>1.75</v>
      </c>
      <c r="I207" s="6">
        <v>7.42</v>
      </c>
      <c r="J207" s="6"/>
      <c r="K207" s="9"/>
      <c r="N207" s="31"/>
      <c r="O207" s="32" t="s">
        <v>1149</v>
      </c>
      <c r="P207" s="31"/>
      <c r="Q207" s="33"/>
    </row>
    <row r="208" spans="1:17" x14ac:dyDescent="0.3">
      <c r="A208" s="7">
        <v>1.75</v>
      </c>
      <c r="B208" s="7"/>
      <c r="C208" s="11" t="s">
        <v>428</v>
      </c>
      <c r="D208" s="7" t="s">
        <v>427</v>
      </c>
      <c r="E208" s="7" t="s">
        <v>426</v>
      </c>
      <c r="F208" s="7" t="s">
        <v>425</v>
      </c>
      <c r="G208" s="8">
        <v>182.8</v>
      </c>
      <c r="H208" s="6">
        <v>1.647</v>
      </c>
      <c r="I208" s="6">
        <v>7.0830000000000002</v>
      </c>
      <c r="J208" s="6"/>
      <c r="K208" s="9"/>
      <c r="N208" s="31"/>
      <c r="O208" s="32" t="s">
        <v>1276</v>
      </c>
      <c r="P208" s="19"/>
      <c r="Q208" s="33"/>
    </row>
    <row r="209" spans="1:17" x14ac:dyDescent="0.3">
      <c r="A209" s="7">
        <v>1.78</v>
      </c>
      <c r="B209" s="7"/>
      <c r="C209" s="11" t="s">
        <v>173</v>
      </c>
      <c r="D209" s="7" t="s">
        <v>171</v>
      </c>
      <c r="E209" s="7" t="s">
        <v>170</v>
      </c>
      <c r="F209" s="7" t="s">
        <v>172</v>
      </c>
      <c r="G209" s="13">
        <f>114.8*4.184</f>
        <v>480.32319999999999</v>
      </c>
      <c r="H209" s="6">
        <v>1.64</v>
      </c>
      <c r="I209" s="6">
        <v>7.2</v>
      </c>
      <c r="J209" s="6"/>
      <c r="K209" s="7"/>
      <c r="N209" s="19"/>
      <c r="O209" s="32" t="s">
        <v>1274</v>
      </c>
      <c r="P209" s="19"/>
      <c r="Q209" s="33"/>
    </row>
    <row r="210" spans="1:17" x14ac:dyDescent="0.3">
      <c r="A210" s="7">
        <v>1.64</v>
      </c>
      <c r="B210" s="7" t="s">
        <v>935</v>
      </c>
      <c r="C210" s="11" t="s">
        <v>219</v>
      </c>
      <c r="D210" s="7" t="s">
        <v>10</v>
      </c>
      <c r="E210" s="7" t="s">
        <v>22</v>
      </c>
      <c r="F210" s="7" t="s">
        <v>9</v>
      </c>
      <c r="G210" s="13">
        <f>8.8*4.184</f>
        <v>36.819200000000002</v>
      </c>
      <c r="H210" s="6">
        <v>1.64</v>
      </c>
      <c r="I210" s="6">
        <v>6.48</v>
      </c>
      <c r="J210" s="6">
        <v>1.64</v>
      </c>
      <c r="K210" s="7">
        <v>15.9</v>
      </c>
      <c r="L210" s="2">
        <v>1.64</v>
      </c>
      <c r="M210" s="2">
        <v>525</v>
      </c>
      <c r="N210" s="31"/>
      <c r="O210" s="32" t="s">
        <v>1277</v>
      </c>
      <c r="P210" s="31" t="s">
        <v>1329</v>
      </c>
      <c r="Q210" s="33" t="s">
        <v>1345</v>
      </c>
    </row>
    <row r="211" spans="1:17" x14ac:dyDescent="0.3">
      <c r="A211" s="7">
        <v>1.62</v>
      </c>
      <c r="B211" s="7" t="s">
        <v>938</v>
      </c>
      <c r="C211" s="11" t="s">
        <v>768</v>
      </c>
      <c r="D211" s="7" t="s">
        <v>767</v>
      </c>
      <c r="E211" s="11" t="s">
        <v>766</v>
      </c>
      <c r="F211" s="7" t="s">
        <v>722</v>
      </c>
      <c r="G211" s="13">
        <v>235.14</v>
      </c>
      <c r="H211" s="6">
        <v>1.62</v>
      </c>
      <c r="I211" s="6">
        <v>7.98</v>
      </c>
      <c r="J211" s="6"/>
      <c r="K211" s="7"/>
      <c r="N211" s="19"/>
      <c r="O211" s="32" t="s">
        <v>954</v>
      </c>
      <c r="P211" s="19"/>
      <c r="Q211" s="33"/>
    </row>
    <row r="212" spans="1:17" x14ac:dyDescent="0.3">
      <c r="A212" s="7">
        <v>1.84</v>
      </c>
      <c r="B212" s="7" t="s">
        <v>933</v>
      </c>
      <c r="C212" s="11" t="s">
        <v>251</v>
      </c>
      <c r="D212" s="7" t="s">
        <v>769</v>
      </c>
      <c r="E212" s="7" t="s">
        <v>249</v>
      </c>
      <c r="F212" s="7" t="s">
        <v>250</v>
      </c>
      <c r="G212" s="13">
        <v>673.2</v>
      </c>
      <c r="H212" s="6">
        <v>1.55</v>
      </c>
      <c r="I212" s="6">
        <v>9.6</v>
      </c>
      <c r="J212" s="6"/>
      <c r="K212" s="7"/>
      <c r="N212" s="31" t="s">
        <v>1061</v>
      </c>
      <c r="O212" s="32" t="s">
        <v>1278</v>
      </c>
      <c r="P212" s="19"/>
      <c r="Q212" s="33"/>
    </row>
    <row r="213" spans="1:17" x14ac:dyDescent="0.3">
      <c r="A213" s="7">
        <v>1.86</v>
      </c>
      <c r="B213" s="7" t="s">
        <v>933</v>
      </c>
      <c r="C213" s="11" t="s">
        <v>765</v>
      </c>
      <c r="D213" s="7" t="s">
        <v>13</v>
      </c>
      <c r="E213" s="7" t="s">
        <v>23</v>
      </c>
      <c r="F213" s="7" t="s">
        <v>14</v>
      </c>
      <c r="G213" s="13">
        <v>85.4</v>
      </c>
      <c r="H213" s="6">
        <v>1.86</v>
      </c>
      <c r="I213" s="6">
        <v>7.58</v>
      </c>
      <c r="J213" s="6"/>
      <c r="K213" s="7"/>
      <c r="L213" s="2">
        <v>1.86</v>
      </c>
      <c r="M213" s="2">
        <v>693</v>
      </c>
      <c r="N213" s="19"/>
      <c r="O213" s="32" t="s">
        <v>1279</v>
      </c>
      <c r="P213" s="19"/>
      <c r="Q213" s="33" t="s">
        <v>1346</v>
      </c>
    </row>
    <row r="214" spans="1:17" x14ac:dyDescent="0.3">
      <c r="A214" s="7">
        <v>1.71</v>
      </c>
      <c r="B214" s="7"/>
      <c r="C214" s="11" t="s">
        <v>786</v>
      </c>
      <c r="D214" s="7" t="s">
        <v>785</v>
      </c>
      <c r="E214" s="7" t="s">
        <v>787</v>
      </c>
      <c r="F214" s="7" t="s">
        <v>19</v>
      </c>
      <c r="G214" s="13">
        <v>916</v>
      </c>
      <c r="H214" s="6">
        <v>1.49</v>
      </c>
      <c r="I214" s="6">
        <v>6.94</v>
      </c>
      <c r="J214" s="6"/>
      <c r="K214" s="7"/>
      <c r="M214" s="2">
        <v>1140</v>
      </c>
      <c r="N214" s="19"/>
      <c r="O214" s="32" t="s">
        <v>1280</v>
      </c>
      <c r="P214" s="19"/>
      <c r="Q214" s="33" t="s">
        <v>944</v>
      </c>
    </row>
    <row r="215" spans="1:17" x14ac:dyDescent="0.3">
      <c r="A215" s="7">
        <v>1.97</v>
      </c>
      <c r="B215" s="7"/>
      <c r="C215" s="11" t="s">
        <v>1026</v>
      </c>
      <c r="D215" s="7" t="s">
        <v>880</v>
      </c>
      <c r="E215" s="11" t="s">
        <v>879</v>
      </c>
      <c r="F215" s="7" t="s">
        <v>26</v>
      </c>
      <c r="G215" s="13">
        <v>408</v>
      </c>
      <c r="H215" s="6">
        <v>1.96</v>
      </c>
      <c r="I215" s="6">
        <v>9.66</v>
      </c>
      <c r="J215" s="6">
        <v>1.96</v>
      </c>
      <c r="K215" s="7">
        <v>40.6</v>
      </c>
      <c r="N215" s="31" t="s">
        <v>1053</v>
      </c>
      <c r="O215" s="32" t="s">
        <v>1281</v>
      </c>
      <c r="P215" s="31" t="s">
        <v>954</v>
      </c>
      <c r="Q215" s="33"/>
    </row>
    <row r="216" spans="1:17" x14ac:dyDescent="0.3">
      <c r="A216" s="7">
        <v>1.9810000000000001</v>
      </c>
      <c r="B216" s="7"/>
      <c r="C216" s="11" t="s">
        <v>882</v>
      </c>
      <c r="D216" s="7" t="s">
        <v>881</v>
      </c>
      <c r="E216" s="7" t="s">
        <v>78</v>
      </c>
      <c r="F216" s="7" t="s">
        <v>20</v>
      </c>
      <c r="G216" s="13">
        <v>670</v>
      </c>
      <c r="H216" s="6">
        <v>1.98</v>
      </c>
      <c r="I216" s="6">
        <v>9.8699999999999992</v>
      </c>
      <c r="J216" s="6"/>
      <c r="K216" s="7" t="s">
        <v>80</v>
      </c>
      <c r="L216" s="2">
        <v>1.94</v>
      </c>
      <c r="M216" s="2">
        <v>1788</v>
      </c>
      <c r="N216" s="31" t="s">
        <v>1136</v>
      </c>
      <c r="O216" s="32" t="s">
        <v>1282</v>
      </c>
      <c r="P216" s="19"/>
      <c r="Q216" s="33" t="s">
        <v>1346</v>
      </c>
    </row>
    <row r="217" spans="1:17" x14ac:dyDescent="0.3">
      <c r="A217" s="7"/>
      <c r="B217" s="7" t="s">
        <v>933</v>
      </c>
      <c r="C217" s="11" t="s">
        <v>886</v>
      </c>
      <c r="D217" s="7" t="s">
        <v>885</v>
      </c>
      <c r="E217" s="7" t="s">
        <v>883</v>
      </c>
      <c r="F217" s="7" t="s">
        <v>884</v>
      </c>
      <c r="G217" s="13">
        <v>568</v>
      </c>
      <c r="H217" s="6">
        <v>1.85</v>
      </c>
      <c r="I217" s="6">
        <v>8.2560000000000002</v>
      </c>
      <c r="J217" s="6"/>
      <c r="K217" s="7"/>
      <c r="N217" s="31" t="s">
        <v>1124</v>
      </c>
      <c r="O217" s="32" t="s">
        <v>1283</v>
      </c>
      <c r="P217" s="19"/>
      <c r="Q217" s="33"/>
    </row>
    <row r="218" spans="1:17" x14ac:dyDescent="0.3">
      <c r="A218" s="7">
        <v>1.901</v>
      </c>
      <c r="B218" s="7"/>
      <c r="C218" s="11" t="s">
        <v>212</v>
      </c>
      <c r="D218" s="7" t="s">
        <v>211</v>
      </c>
      <c r="E218" s="7" t="s">
        <v>6</v>
      </c>
      <c r="F218" s="7" t="s">
        <v>15</v>
      </c>
      <c r="G218" s="13">
        <v>624</v>
      </c>
      <c r="H218" s="6">
        <v>1.86</v>
      </c>
      <c r="I218" s="6">
        <v>8.49</v>
      </c>
      <c r="J218" s="6">
        <v>1.86</v>
      </c>
      <c r="K218" s="7">
        <v>34</v>
      </c>
      <c r="L218" s="2">
        <v>1.86</v>
      </c>
      <c r="M218" s="2">
        <v>1407</v>
      </c>
      <c r="N218" s="31" t="s">
        <v>1053</v>
      </c>
      <c r="O218" s="32" t="s">
        <v>1284</v>
      </c>
      <c r="P218" s="31" t="s">
        <v>1330</v>
      </c>
      <c r="Q218" s="33" t="s">
        <v>1340</v>
      </c>
    </row>
    <row r="219" spans="1:17" x14ac:dyDescent="0.3">
      <c r="A219" s="7">
        <v>2.02</v>
      </c>
      <c r="B219" s="7"/>
      <c r="C219" s="11" t="s">
        <v>218</v>
      </c>
      <c r="D219" s="7" t="s">
        <v>217</v>
      </c>
      <c r="E219" s="7" t="s">
        <v>7</v>
      </c>
      <c r="F219" s="7" t="s">
        <v>16</v>
      </c>
      <c r="G219" s="13">
        <v>197</v>
      </c>
      <c r="H219" s="6">
        <v>1.9650000000000001</v>
      </c>
      <c r="I219" s="6">
        <v>9.34</v>
      </c>
      <c r="J219" s="6">
        <v>1.9650000000000001</v>
      </c>
      <c r="K219" s="7">
        <v>43</v>
      </c>
      <c r="L219" s="2">
        <v>1.9179999999999999</v>
      </c>
      <c r="M219" s="2">
        <v>1653</v>
      </c>
      <c r="N219" s="19"/>
      <c r="O219" s="32" t="s">
        <v>1285</v>
      </c>
      <c r="P219" s="31" t="s">
        <v>976</v>
      </c>
      <c r="Q219" s="33" t="s">
        <v>1334</v>
      </c>
    </row>
    <row r="220" spans="1:17" x14ac:dyDescent="0.3">
      <c r="A220" s="7">
        <v>1.84</v>
      </c>
      <c r="B220" s="7" t="s">
        <v>933</v>
      </c>
      <c r="C220" s="11" t="s">
        <v>239</v>
      </c>
      <c r="D220" s="7" t="s">
        <v>240</v>
      </c>
      <c r="E220" s="11" t="s">
        <v>97</v>
      </c>
      <c r="F220" s="7" t="s">
        <v>79</v>
      </c>
      <c r="G220" s="13">
        <v>661</v>
      </c>
      <c r="H220" s="6">
        <v>1.84</v>
      </c>
      <c r="I220" s="6">
        <v>8.6</v>
      </c>
      <c r="J220" s="6"/>
      <c r="K220" s="7" t="s">
        <v>80</v>
      </c>
      <c r="N220" s="19"/>
      <c r="O220" s="32" t="s">
        <v>1151</v>
      </c>
      <c r="P220" s="19"/>
      <c r="Q220" s="33"/>
    </row>
    <row r="221" spans="1:17" x14ac:dyDescent="0.3">
      <c r="A221" s="7">
        <v>1.93</v>
      </c>
      <c r="B221" s="7" t="s">
        <v>937</v>
      </c>
      <c r="C221" s="11" t="s">
        <v>243</v>
      </c>
      <c r="D221" s="7" t="s">
        <v>237</v>
      </c>
      <c r="E221" s="11" t="s">
        <v>236</v>
      </c>
      <c r="F221" s="7" t="s">
        <v>238</v>
      </c>
      <c r="G221" s="13">
        <v>635</v>
      </c>
      <c r="H221" s="6">
        <v>1.93</v>
      </c>
      <c r="I221" s="6">
        <v>9.14</v>
      </c>
      <c r="J221" s="6"/>
      <c r="K221" s="7"/>
      <c r="N221" s="19"/>
      <c r="O221" s="32" t="s">
        <v>1286</v>
      </c>
      <c r="P221" s="19"/>
      <c r="Q221" s="33"/>
    </row>
    <row r="222" spans="1:17" x14ac:dyDescent="0.3">
      <c r="A222" s="7">
        <v>1.8049999999999999</v>
      </c>
      <c r="B222" s="7" t="s">
        <v>937</v>
      </c>
      <c r="C222" s="11" t="s">
        <v>220</v>
      </c>
      <c r="D222" s="7" t="s">
        <v>760</v>
      </c>
      <c r="E222" s="7" t="s">
        <v>24</v>
      </c>
      <c r="F222" s="7" t="s">
        <v>17</v>
      </c>
      <c r="G222" s="13">
        <v>1131</v>
      </c>
      <c r="H222" s="6">
        <v>1.74</v>
      </c>
      <c r="I222" s="6">
        <v>8.58</v>
      </c>
      <c r="J222" s="6"/>
      <c r="K222" s="7"/>
      <c r="L222" s="2">
        <v>1.74</v>
      </c>
      <c r="M222" s="2">
        <v>1432</v>
      </c>
      <c r="N222" s="31"/>
      <c r="O222" s="32" t="s">
        <v>1287</v>
      </c>
      <c r="P222" s="31"/>
      <c r="Q222" s="33" t="s">
        <v>1346</v>
      </c>
    </row>
    <row r="223" spans="1:17" x14ac:dyDescent="0.3">
      <c r="A223" s="7">
        <v>1.51</v>
      </c>
      <c r="B223" s="7" t="s">
        <v>933</v>
      </c>
      <c r="C223" s="11" t="s">
        <v>912</v>
      </c>
      <c r="D223" s="7" t="s">
        <v>1161</v>
      </c>
      <c r="E223" s="7" t="s">
        <v>911</v>
      </c>
      <c r="F223" s="7" t="s">
        <v>909</v>
      </c>
      <c r="G223" s="13">
        <v>236</v>
      </c>
      <c r="H223" s="6">
        <v>1.51</v>
      </c>
      <c r="I223" s="6">
        <v>4.7699999999999996</v>
      </c>
      <c r="J223" s="6"/>
      <c r="K223" s="7"/>
      <c r="N223" s="19"/>
      <c r="O223" s="32" t="s">
        <v>939</v>
      </c>
      <c r="P223" s="19"/>
      <c r="Q223" s="33"/>
    </row>
    <row r="224" spans="1:17" x14ac:dyDescent="0.3">
      <c r="A224" s="7">
        <v>1.64</v>
      </c>
      <c r="B224" s="7" t="s">
        <v>933</v>
      </c>
      <c r="C224" s="11" t="s">
        <v>1027</v>
      </c>
      <c r="D224" s="7" t="s">
        <v>919</v>
      </c>
      <c r="E224" s="7" t="s">
        <v>913</v>
      </c>
      <c r="F224" s="7" t="s">
        <v>918</v>
      </c>
      <c r="G224" s="13">
        <v>314</v>
      </c>
      <c r="H224" s="6">
        <v>0.9</v>
      </c>
      <c r="I224" s="6">
        <v>2.91</v>
      </c>
      <c r="J224" s="6"/>
      <c r="K224" s="7"/>
      <c r="N224" s="31" t="s">
        <v>1188</v>
      </c>
      <c r="O224" s="32" t="s">
        <v>1188</v>
      </c>
      <c r="P224" s="19"/>
      <c r="Q224" s="33"/>
    </row>
    <row r="225" spans="1:17" x14ac:dyDescent="0.3">
      <c r="A225" s="7">
        <v>1.69</v>
      </c>
      <c r="B225" s="7" t="s">
        <v>933</v>
      </c>
      <c r="C225" s="11" t="s">
        <v>517</v>
      </c>
      <c r="D225" s="7" t="s">
        <v>513</v>
      </c>
      <c r="E225" s="7" t="s">
        <v>115</v>
      </c>
      <c r="F225" s="7" t="s">
        <v>514</v>
      </c>
      <c r="G225" s="13">
        <v>536</v>
      </c>
      <c r="H225" s="6">
        <v>1.56</v>
      </c>
      <c r="I225" s="6">
        <v>7.54</v>
      </c>
      <c r="J225" s="6"/>
      <c r="K225" s="7"/>
      <c r="N225" s="19"/>
      <c r="O225" s="32" t="s">
        <v>961</v>
      </c>
      <c r="P225" s="19"/>
      <c r="Q225" s="33"/>
    </row>
    <row r="226" spans="1:17" x14ac:dyDescent="0.3">
      <c r="A226" s="7">
        <v>1.78</v>
      </c>
      <c r="B226" s="7" t="s">
        <v>933</v>
      </c>
      <c r="C226" s="11" t="s">
        <v>537</v>
      </c>
      <c r="D226" s="7" t="s">
        <v>520</v>
      </c>
      <c r="E226" s="7" t="s">
        <v>519</v>
      </c>
      <c r="F226" s="7" t="s">
        <v>536</v>
      </c>
      <c r="G226" s="13">
        <v>862</v>
      </c>
      <c r="H226" s="6">
        <v>1.64</v>
      </c>
      <c r="I226" s="6">
        <v>7.4</v>
      </c>
      <c r="J226" s="6">
        <v>1.61</v>
      </c>
      <c r="K226" s="7">
        <v>24</v>
      </c>
      <c r="N226" s="31" t="s">
        <v>1128</v>
      </c>
      <c r="O226" s="32" t="s">
        <v>1128</v>
      </c>
      <c r="P226" s="31" t="s">
        <v>1128</v>
      </c>
      <c r="Q226" s="33"/>
    </row>
    <row r="227" spans="1:17" x14ac:dyDescent="0.3">
      <c r="A227" s="7">
        <v>1.76</v>
      </c>
      <c r="B227" s="7" t="s">
        <v>933</v>
      </c>
      <c r="C227" s="11" t="s">
        <v>518</v>
      </c>
      <c r="D227" s="7" t="s">
        <v>516</v>
      </c>
      <c r="E227" s="7" t="s">
        <v>493</v>
      </c>
      <c r="F227" s="7" t="s">
        <v>515</v>
      </c>
      <c r="G227" s="13">
        <v>883</v>
      </c>
      <c r="H227" s="6">
        <v>1.75</v>
      </c>
      <c r="I227" s="6">
        <v>7.25</v>
      </c>
      <c r="J227" s="6"/>
      <c r="K227" s="7"/>
      <c r="N227" s="19"/>
      <c r="O227" s="32" t="s">
        <v>1093</v>
      </c>
      <c r="P227" s="31"/>
      <c r="Q227" s="33"/>
    </row>
    <row r="228" spans="1:17" x14ac:dyDescent="0.3">
      <c r="A228" s="7">
        <v>1.39</v>
      </c>
      <c r="B228" s="7" t="s">
        <v>933</v>
      </c>
      <c r="C228" s="2" t="s">
        <v>1043</v>
      </c>
      <c r="D228" s="2" t="s">
        <v>1044</v>
      </c>
      <c r="E228" s="2" t="s">
        <v>1045</v>
      </c>
      <c r="F228" s="2" t="s">
        <v>1046</v>
      </c>
      <c r="G228" s="13">
        <v>1834</v>
      </c>
      <c r="H228" s="6">
        <v>1.1499999999999999</v>
      </c>
      <c r="I228" s="6">
        <v>5.7729999999999997</v>
      </c>
      <c r="J228" s="6"/>
      <c r="K228" s="7"/>
      <c r="N228" s="31"/>
      <c r="O228" s="32" t="s">
        <v>1288</v>
      </c>
      <c r="P228" s="31"/>
      <c r="Q228" s="33"/>
    </row>
    <row r="229" spans="1:17" x14ac:dyDescent="0.3">
      <c r="A229" s="7">
        <v>1.272</v>
      </c>
      <c r="B229" s="7" t="s">
        <v>933</v>
      </c>
      <c r="C229" s="11" t="s">
        <v>254</v>
      </c>
      <c r="D229" s="7" t="s">
        <v>84</v>
      </c>
      <c r="E229" s="11" t="s">
        <v>83</v>
      </c>
      <c r="F229" s="7" t="s">
        <v>85</v>
      </c>
      <c r="G229" s="13">
        <v>-665</v>
      </c>
      <c r="H229" s="6">
        <v>0.45</v>
      </c>
      <c r="I229" s="6">
        <v>2.78</v>
      </c>
      <c r="J229" s="6"/>
      <c r="K229" s="7"/>
      <c r="N229" s="31" t="s">
        <v>1152</v>
      </c>
      <c r="O229" s="32" t="s">
        <v>1289</v>
      </c>
      <c r="P229" s="31"/>
      <c r="Q229" s="33"/>
    </row>
    <row r="230" spans="1:17" x14ac:dyDescent="0.3">
      <c r="A230" s="7">
        <v>1.3460000000000001</v>
      </c>
      <c r="B230" s="7" t="s">
        <v>933</v>
      </c>
      <c r="C230" s="11" t="s">
        <v>1035</v>
      </c>
      <c r="D230" s="7" t="s">
        <v>1032</v>
      </c>
      <c r="E230" s="11" t="s">
        <v>1033</v>
      </c>
      <c r="F230" s="7" t="s">
        <v>1034</v>
      </c>
      <c r="G230" s="13">
        <v>112</v>
      </c>
      <c r="H230" s="6">
        <v>0.7</v>
      </c>
      <c r="I230" s="6">
        <v>3.27</v>
      </c>
      <c r="J230" s="6"/>
      <c r="K230" s="7"/>
      <c r="N230" s="31"/>
      <c r="O230" s="32" t="s">
        <v>1290</v>
      </c>
      <c r="P230" s="31"/>
      <c r="Q230" s="33"/>
    </row>
    <row r="231" spans="1:17" x14ac:dyDescent="0.3">
      <c r="A231" s="7">
        <v>1.73</v>
      </c>
      <c r="B231" s="7" t="s">
        <v>933</v>
      </c>
      <c r="C231" s="11" t="s">
        <v>890</v>
      </c>
      <c r="D231" s="7" t="s">
        <v>889</v>
      </c>
      <c r="E231" s="11" t="s">
        <v>167</v>
      </c>
      <c r="F231" s="7" t="s">
        <v>724</v>
      </c>
      <c r="G231" s="13">
        <v>-366</v>
      </c>
      <c r="H231" s="6">
        <v>1.3</v>
      </c>
      <c r="I231" s="6">
        <v>5.27</v>
      </c>
      <c r="J231" s="6"/>
      <c r="K231" s="7"/>
      <c r="N231" s="31"/>
      <c r="O231" s="32" t="s">
        <v>1291</v>
      </c>
      <c r="P231" s="31"/>
      <c r="Q231" s="33"/>
    </row>
    <row r="232" spans="1:17" x14ac:dyDescent="0.3">
      <c r="A232" s="7">
        <v>1.84</v>
      </c>
      <c r="B232" s="7" t="s">
        <v>933</v>
      </c>
      <c r="C232" s="11" t="s">
        <v>888</v>
      </c>
      <c r="D232" s="7" t="s">
        <v>887</v>
      </c>
      <c r="E232" s="11" t="s">
        <v>102</v>
      </c>
      <c r="F232" s="7" t="s">
        <v>723</v>
      </c>
      <c r="G232" s="13">
        <f>-32.16*4.184</f>
        <v>-134.55743999999999</v>
      </c>
      <c r="H232" s="6">
        <v>1.72</v>
      </c>
      <c r="I232" s="6">
        <v>6.3</v>
      </c>
      <c r="J232" s="6">
        <v>1.63</v>
      </c>
      <c r="K232" s="7">
        <v>14</v>
      </c>
      <c r="N232" s="31" t="s">
        <v>1125</v>
      </c>
      <c r="O232" s="32" t="s">
        <v>1292</v>
      </c>
      <c r="P232" s="31" t="s">
        <v>953</v>
      </c>
      <c r="Q232" s="33"/>
    </row>
    <row r="233" spans="1:17" x14ac:dyDescent="0.3">
      <c r="A233" s="7">
        <v>1.68</v>
      </c>
      <c r="B233" s="7" t="s">
        <v>937</v>
      </c>
      <c r="C233" s="11" t="s">
        <v>590</v>
      </c>
      <c r="D233" s="7" t="s">
        <v>61</v>
      </c>
      <c r="E233" s="11" t="s">
        <v>589</v>
      </c>
      <c r="F233" s="7" t="s">
        <v>60</v>
      </c>
      <c r="G233" s="13">
        <v>-246</v>
      </c>
      <c r="H233" s="6">
        <v>1.68</v>
      </c>
      <c r="I233" s="6">
        <v>8.92</v>
      </c>
      <c r="J233" s="6">
        <v>1.68</v>
      </c>
      <c r="K233" s="7">
        <v>24.4</v>
      </c>
      <c r="L233" s="2">
        <v>1.633</v>
      </c>
      <c r="M233" s="2">
        <v>923</v>
      </c>
      <c r="N233" s="19"/>
      <c r="O233" s="32" t="s">
        <v>1293</v>
      </c>
      <c r="P233" s="31" t="s">
        <v>1331</v>
      </c>
      <c r="Q233" s="33" t="s">
        <v>941</v>
      </c>
    </row>
    <row r="234" spans="1:17" x14ac:dyDescent="0.3">
      <c r="A234" s="7">
        <v>1.6419999999999999</v>
      </c>
      <c r="B234" s="7" t="s">
        <v>938</v>
      </c>
      <c r="C234" s="11" t="s">
        <v>892</v>
      </c>
      <c r="D234" s="7" t="s">
        <v>43</v>
      </c>
      <c r="E234" s="11" t="s">
        <v>891</v>
      </c>
      <c r="F234" s="7" t="s">
        <v>42</v>
      </c>
      <c r="G234" s="13">
        <v>-412.5</v>
      </c>
      <c r="H234" s="6">
        <v>1.6419999999999999</v>
      </c>
      <c r="I234" s="6">
        <v>7.12</v>
      </c>
      <c r="J234" s="6"/>
      <c r="K234" s="7"/>
      <c r="N234" s="31"/>
      <c r="O234" s="32" t="s">
        <v>975</v>
      </c>
      <c r="P234" s="31"/>
      <c r="Q234" s="33"/>
    </row>
    <row r="235" spans="1:17" x14ac:dyDescent="0.3">
      <c r="A235" s="7">
        <v>1.702</v>
      </c>
      <c r="B235" s="7" t="s">
        <v>938</v>
      </c>
      <c r="C235" s="11" t="s">
        <v>897</v>
      </c>
      <c r="D235" s="7" t="s">
        <v>896</v>
      </c>
      <c r="E235" s="11" t="s">
        <v>898</v>
      </c>
      <c r="F235" s="7" t="s">
        <v>895</v>
      </c>
      <c r="G235" s="13">
        <v>-502</v>
      </c>
      <c r="H235" s="6">
        <v>1.702</v>
      </c>
      <c r="I235" s="6">
        <v>7.48</v>
      </c>
      <c r="J235" s="6"/>
      <c r="K235" s="7"/>
      <c r="N235" s="19"/>
      <c r="O235" s="32" t="s">
        <v>975</v>
      </c>
      <c r="P235" s="19"/>
      <c r="Q235" s="33"/>
    </row>
    <row r="236" spans="1:17" x14ac:dyDescent="0.3">
      <c r="A236" s="7">
        <v>1.26</v>
      </c>
      <c r="B236" s="7" t="s">
        <v>938</v>
      </c>
      <c r="C236" s="11" t="s">
        <v>728</v>
      </c>
      <c r="D236" s="7" t="s">
        <v>727</v>
      </c>
      <c r="E236" s="11" t="s">
        <v>729</v>
      </c>
      <c r="F236" s="7" t="s">
        <v>730</v>
      </c>
      <c r="G236" s="13">
        <v>-201</v>
      </c>
      <c r="H236" s="6">
        <v>1.26</v>
      </c>
      <c r="I236" s="6">
        <v>5.96</v>
      </c>
      <c r="J236" s="6">
        <v>1.26</v>
      </c>
      <c r="K236" s="7">
        <v>13.5</v>
      </c>
      <c r="L236" s="2">
        <v>1.2649999999999999</v>
      </c>
      <c r="M236" s="2">
        <v>1339</v>
      </c>
      <c r="N236" s="19"/>
      <c r="O236" s="32" t="s">
        <v>976</v>
      </c>
      <c r="P236" s="31" t="s">
        <v>976</v>
      </c>
      <c r="Q236" s="33" t="s">
        <v>941</v>
      </c>
    </row>
    <row r="237" spans="1:17" x14ac:dyDescent="0.3">
      <c r="A237" s="7">
        <v>1.645</v>
      </c>
      <c r="B237" s="7" t="s">
        <v>938</v>
      </c>
      <c r="C237" s="11" t="s">
        <v>901</v>
      </c>
      <c r="D237" s="7" t="s">
        <v>899</v>
      </c>
      <c r="E237" s="11" t="s">
        <v>900</v>
      </c>
      <c r="F237" s="7" t="s">
        <v>41</v>
      </c>
      <c r="G237" s="13">
        <v>-670.7</v>
      </c>
      <c r="H237" s="6">
        <v>1.645</v>
      </c>
      <c r="I237" s="6">
        <v>7.67</v>
      </c>
      <c r="J237" s="6"/>
      <c r="K237" s="7"/>
      <c r="N237" s="31" t="s">
        <v>1312</v>
      </c>
      <c r="O237" s="32" t="s">
        <v>975</v>
      </c>
      <c r="P237" s="19"/>
      <c r="Q237" s="33"/>
    </row>
    <row r="238" spans="1:17" x14ac:dyDescent="0.3">
      <c r="A238" s="7">
        <v>1.92</v>
      </c>
      <c r="B238" s="7"/>
      <c r="C238" s="11" t="s">
        <v>904</v>
      </c>
      <c r="D238" s="7" t="s">
        <v>902</v>
      </c>
      <c r="E238" s="11" t="s">
        <v>903</v>
      </c>
      <c r="F238" s="7" t="s">
        <v>721</v>
      </c>
      <c r="G238" s="13">
        <v>-534</v>
      </c>
      <c r="H238" s="17">
        <v>1.92</v>
      </c>
      <c r="I238" s="6">
        <v>8.76</v>
      </c>
      <c r="J238" s="6"/>
      <c r="K238" s="7"/>
      <c r="N238" s="19"/>
      <c r="O238" s="32" t="s">
        <v>1294</v>
      </c>
      <c r="P238" s="19"/>
      <c r="Q238" s="33"/>
    </row>
    <row r="239" spans="1:17" x14ac:dyDescent="0.3">
      <c r="A239" s="7">
        <v>1.22</v>
      </c>
      <c r="B239" s="7" t="s">
        <v>933</v>
      </c>
      <c r="C239" s="11" t="s">
        <v>731</v>
      </c>
      <c r="D239" s="7" t="s">
        <v>905</v>
      </c>
      <c r="E239" s="11" t="s">
        <v>732</v>
      </c>
      <c r="F239" s="7" t="s">
        <v>49</v>
      </c>
      <c r="G239" s="13">
        <v>-117</v>
      </c>
      <c r="H239" s="6">
        <v>1.22</v>
      </c>
      <c r="I239" s="6">
        <v>6</v>
      </c>
      <c r="J239" s="6"/>
      <c r="K239" s="7"/>
      <c r="N239" s="19"/>
      <c r="O239" s="32" t="s">
        <v>1295</v>
      </c>
      <c r="P239" s="19"/>
      <c r="Q239" s="33"/>
    </row>
    <row r="240" spans="1:17" x14ac:dyDescent="0.3">
      <c r="A240" s="7">
        <v>1.6859999999999999</v>
      </c>
      <c r="B240" s="7" t="s">
        <v>938</v>
      </c>
      <c r="C240" s="11" t="s">
        <v>1166</v>
      </c>
      <c r="D240" s="7" t="s">
        <v>1167</v>
      </c>
      <c r="E240" s="11" t="s">
        <v>1168</v>
      </c>
      <c r="F240" s="7" t="s">
        <v>1169</v>
      </c>
      <c r="G240" s="13">
        <v>-1297</v>
      </c>
      <c r="H240" s="6">
        <v>1.6839999999999999</v>
      </c>
      <c r="I240" s="6">
        <v>7.42</v>
      </c>
      <c r="J240" s="6"/>
      <c r="K240" s="7"/>
      <c r="N240" s="31"/>
      <c r="O240" s="32" t="s">
        <v>1296</v>
      </c>
      <c r="P240" s="31"/>
      <c r="Q240" s="33"/>
    </row>
    <row r="241" spans="1:17" x14ac:dyDescent="0.3">
      <c r="A241" s="7">
        <v>1.6</v>
      </c>
      <c r="B241" s="7" t="s">
        <v>935</v>
      </c>
      <c r="C241" s="11" t="s">
        <v>221</v>
      </c>
      <c r="D241" s="7" t="s">
        <v>37</v>
      </c>
      <c r="E241" s="11" t="s">
        <v>36</v>
      </c>
      <c r="F241" s="7" t="s">
        <v>35</v>
      </c>
      <c r="G241" s="13">
        <v>-830</v>
      </c>
      <c r="H241" s="6">
        <v>1.59</v>
      </c>
      <c r="I241" s="6">
        <v>7.5</v>
      </c>
      <c r="J241" s="6">
        <v>1.59</v>
      </c>
      <c r="K241" s="7">
        <v>24.5</v>
      </c>
      <c r="L241" s="2">
        <v>1.6</v>
      </c>
      <c r="M241" s="2">
        <v>1209</v>
      </c>
      <c r="N241" s="31" t="s">
        <v>1053</v>
      </c>
      <c r="O241" s="32" t="s">
        <v>1297</v>
      </c>
      <c r="P241" s="31" t="s">
        <v>989</v>
      </c>
      <c r="Q241" s="33" t="s">
        <v>941</v>
      </c>
    </row>
    <row r="242" spans="1:17" x14ac:dyDescent="0.3">
      <c r="A242" s="7">
        <v>1.83</v>
      </c>
      <c r="B242" s="7" t="s">
        <v>933</v>
      </c>
      <c r="C242" s="11" t="s">
        <v>1078</v>
      </c>
      <c r="D242" s="7" t="s">
        <v>1081</v>
      </c>
      <c r="E242" s="11" t="s">
        <v>1079</v>
      </c>
      <c r="F242" s="7" t="s">
        <v>1080</v>
      </c>
      <c r="G242" s="13">
        <v>-664</v>
      </c>
      <c r="H242" s="6">
        <v>1.8</v>
      </c>
      <c r="I242" s="6">
        <v>8.4</v>
      </c>
      <c r="J242" s="6"/>
      <c r="K242" s="7"/>
      <c r="N242" s="31"/>
      <c r="O242" s="32" t="s">
        <v>1131</v>
      </c>
      <c r="P242" s="31"/>
      <c r="Q242" s="33"/>
    </row>
    <row r="243" spans="1:17" x14ac:dyDescent="0.3">
      <c r="A243" s="7">
        <v>1.23</v>
      </c>
      <c r="B243" s="7" t="s">
        <v>938</v>
      </c>
      <c r="C243" s="11" t="s">
        <v>1028</v>
      </c>
      <c r="D243" s="7" t="s">
        <v>734</v>
      </c>
      <c r="E243" s="11" t="s">
        <v>735</v>
      </c>
      <c r="F243" s="7" t="s">
        <v>733</v>
      </c>
      <c r="G243" s="13"/>
      <c r="H243" s="6">
        <v>1.23</v>
      </c>
      <c r="I243" s="6">
        <v>5.6</v>
      </c>
      <c r="J243" s="6"/>
      <c r="K243" s="7"/>
      <c r="N243" s="19"/>
      <c r="O243" s="32" t="s">
        <v>1295</v>
      </c>
      <c r="P243" s="19"/>
      <c r="Q243" s="33"/>
    </row>
    <row r="244" spans="1:17" x14ac:dyDescent="0.3">
      <c r="A244" s="7">
        <v>1.52</v>
      </c>
      <c r="B244" s="7" t="s">
        <v>938</v>
      </c>
      <c r="C244" s="11" t="s">
        <v>739</v>
      </c>
      <c r="D244" s="7" t="s">
        <v>737</v>
      </c>
      <c r="E244" s="11" t="s">
        <v>738</v>
      </c>
      <c r="F244" s="7" t="s">
        <v>736</v>
      </c>
      <c r="G244" s="13"/>
      <c r="H244" s="6">
        <v>1.51</v>
      </c>
      <c r="I244" s="6">
        <v>7</v>
      </c>
      <c r="J244" s="6"/>
      <c r="K244" s="7"/>
      <c r="N244" s="19"/>
      <c r="O244" s="32" t="s">
        <v>1295</v>
      </c>
      <c r="P244" s="19"/>
      <c r="Q244" s="33"/>
    </row>
    <row r="245" spans="1:17" x14ac:dyDescent="0.3">
      <c r="A245" s="7">
        <v>1.92</v>
      </c>
      <c r="B245" s="7" t="s">
        <v>933</v>
      </c>
      <c r="C245" s="11" t="s">
        <v>743</v>
      </c>
      <c r="D245" s="7" t="s">
        <v>741</v>
      </c>
      <c r="E245" s="11" t="s">
        <v>740</v>
      </c>
      <c r="F245" s="7" t="s">
        <v>742</v>
      </c>
      <c r="G245" s="13">
        <v>-536</v>
      </c>
      <c r="H245" s="6">
        <v>1.8</v>
      </c>
      <c r="I245" s="6">
        <v>7</v>
      </c>
      <c r="J245" s="6"/>
      <c r="K245" s="7"/>
      <c r="N245" s="19"/>
      <c r="O245" s="32" t="s">
        <v>1298</v>
      </c>
      <c r="P245" s="19"/>
      <c r="Q245" s="33"/>
    </row>
    <row r="246" spans="1:17" x14ac:dyDescent="0.3">
      <c r="A246" s="7">
        <v>1.92</v>
      </c>
      <c r="B246" s="7" t="s">
        <v>933</v>
      </c>
      <c r="C246" s="11" t="s">
        <v>908</v>
      </c>
      <c r="D246" s="7" t="s">
        <v>907</v>
      </c>
      <c r="E246" s="11" t="s">
        <v>906</v>
      </c>
      <c r="F246" s="7" t="s">
        <v>556</v>
      </c>
      <c r="G246" s="13">
        <v>-146.4</v>
      </c>
      <c r="H246" s="6">
        <v>1.69</v>
      </c>
      <c r="I246" s="6">
        <v>8.4969999999999999</v>
      </c>
      <c r="J246" s="6"/>
      <c r="K246" s="7"/>
      <c r="N246" s="19"/>
      <c r="O246" s="32" t="s">
        <v>1299</v>
      </c>
      <c r="P246" s="19"/>
      <c r="Q246" s="33"/>
    </row>
    <row r="247" spans="1:17" x14ac:dyDescent="0.3">
      <c r="A247" s="7">
        <v>1.85</v>
      </c>
      <c r="B247" s="7" t="s">
        <v>933</v>
      </c>
      <c r="C247" s="11" t="s">
        <v>758</v>
      </c>
      <c r="D247" s="7" t="s">
        <v>757</v>
      </c>
      <c r="E247" s="11" t="s">
        <v>756</v>
      </c>
      <c r="F247" s="7" t="s">
        <v>759</v>
      </c>
      <c r="G247" s="13">
        <v>-208</v>
      </c>
      <c r="H247" s="6">
        <v>1.85</v>
      </c>
      <c r="I247" s="6">
        <v>7.8</v>
      </c>
      <c r="J247" s="6">
        <v>1.81</v>
      </c>
      <c r="K247" s="7">
        <v>26.7</v>
      </c>
      <c r="L247" s="2">
        <v>1.85</v>
      </c>
      <c r="M247" s="2">
        <v>1071</v>
      </c>
      <c r="N247" s="19"/>
      <c r="O247" s="32" t="s">
        <v>1298</v>
      </c>
      <c r="P247" s="31" t="s">
        <v>954</v>
      </c>
      <c r="Q247" s="33" t="s">
        <v>1332</v>
      </c>
    </row>
    <row r="248" spans="1:17" ht="15" customHeight="1" x14ac:dyDescent="0.3">
      <c r="A248" s="7">
        <v>1.83</v>
      </c>
      <c r="B248" s="7" t="s">
        <v>935</v>
      </c>
      <c r="C248" s="11" t="s">
        <v>754</v>
      </c>
      <c r="D248" s="7" t="s">
        <v>753</v>
      </c>
      <c r="E248" s="11" t="s">
        <v>752</v>
      </c>
      <c r="F248" s="7" t="s">
        <v>755</v>
      </c>
      <c r="G248" s="13">
        <v>-259</v>
      </c>
      <c r="H248" s="6">
        <v>1.83</v>
      </c>
      <c r="I248" s="6">
        <v>7.29</v>
      </c>
      <c r="J248" s="6">
        <v>1.83</v>
      </c>
      <c r="K248" s="7">
        <v>27</v>
      </c>
      <c r="L248" s="2">
        <v>1.83</v>
      </c>
      <c r="M248" s="2">
        <v>1095</v>
      </c>
      <c r="N248" s="19"/>
      <c r="O248" s="32" t="s">
        <v>1300</v>
      </c>
      <c r="P248" s="31" t="s">
        <v>976</v>
      </c>
      <c r="Q248" s="33" t="s">
        <v>1332</v>
      </c>
    </row>
    <row r="249" spans="1:17" ht="15" customHeight="1" x14ac:dyDescent="0.3">
      <c r="A249" s="7">
        <v>1.87</v>
      </c>
      <c r="B249" s="7" t="s">
        <v>933</v>
      </c>
      <c r="C249" s="11" t="s">
        <v>922</v>
      </c>
      <c r="D249" s="7" t="s">
        <v>920</v>
      </c>
      <c r="E249" s="11" t="s">
        <v>921</v>
      </c>
      <c r="F249" s="7" t="s">
        <v>894</v>
      </c>
      <c r="G249" s="13">
        <v>-1214</v>
      </c>
      <c r="H249" s="6">
        <v>1.74</v>
      </c>
      <c r="I249" s="6">
        <v>7.68</v>
      </c>
      <c r="J249" s="6"/>
      <c r="K249" s="7"/>
      <c r="N249" s="19"/>
      <c r="O249" s="32" t="s">
        <v>975</v>
      </c>
      <c r="P249" s="19"/>
      <c r="Q249" s="33"/>
    </row>
    <row r="250" spans="1:17" x14ac:dyDescent="0.3">
      <c r="A250" s="7"/>
      <c r="B250" s="7" t="s">
        <v>933</v>
      </c>
      <c r="C250" s="11" t="s">
        <v>750</v>
      </c>
      <c r="D250" s="7" t="s">
        <v>751</v>
      </c>
      <c r="E250" s="11" t="s">
        <v>749</v>
      </c>
      <c r="F250" s="7" t="s">
        <v>748</v>
      </c>
      <c r="G250" s="13"/>
      <c r="H250" s="6">
        <v>1.69</v>
      </c>
      <c r="I250" s="6">
        <v>7.4</v>
      </c>
      <c r="J250" s="6"/>
      <c r="K250" s="7"/>
      <c r="N250" s="19"/>
      <c r="O250" s="32" t="s">
        <v>1298</v>
      </c>
      <c r="P250" s="19"/>
      <c r="Q250" s="33"/>
    </row>
    <row r="251" spans="1:17" x14ac:dyDescent="0.3">
      <c r="A251" s="7"/>
      <c r="B251" s="7" t="s">
        <v>933</v>
      </c>
      <c r="C251" s="11" t="s">
        <v>924</v>
      </c>
      <c r="D251" s="7" t="s">
        <v>40</v>
      </c>
      <c r="E251" s="11" t="s">
        <v>923</v>
      </c>
      <c r="F251" s="7" t="s">
        <v>39</v>
      </c>
      <c r="G251" s="13">
        <v>-528</v>
      </c>
      <c r="H251" s="6">
        <v>1.82</v>
      </c>
      <c r="I251" s="6">
        <v>8.5</v>
      </c>
      <c r="J251" s="6"/>
      <c r="K251" s="7"/>
      <c r="N251" s="19"/>
      <c r="O251" s="32" t="s">
        <v>975</v>
      </c>
      <c r="P251" s="19"/>
      <c r="Q251" s="33"/>
    </row>
    <row r="252" spans="1:17" x14ac:dyDescent="0.3">
      <c r="A252" s="7">
        <v>1.86</v>
      </c>
      <c r="B252" s="7" t="s">
        <v>933</v>
      </c>
      <c r="C252" s="11" t="s">
        <v>925</v>
      </c>
      <c r="D252" s="7" t="s">
        <v>926</v>
      </c>
      <c r="E252" s="11" t="s">
        <v>927</v>
      </c>
      <c r="F252" s="7" t="s">
        <v>893</v>
      </c>
      <c r="G252" s="13">
        <v>-664</v>
      </c>
      <c r="H252" s="6">
        <v>1.84</v>
      </c>
      <c r="I252" s="6">
        <v>8.6</v>
      </c>
      <c r="J252" s="6"/>
      <c r="K252" s="7"/>
      <c r="N252" s="19"/>
      <c r="O252" s="32" t="s">
        <v>975</v>
      </c>
      <c r="P252" s="19"/>
      <c r="Q252" s="33"/>
    </row>
    <row r="253" spans="1:17" x14ac:dyDescent="0.3">
      <c r="A253" s="7">
        <v>1.8160000000000001</v>
      </c>
      <c r="B253" s="7" t="s">
        <v>933</v>
      </c>
      <c r="C253" s="11" t="s">
        <v>1162</v>
      </c>
      <c r="D253" s="7" t="s">
        <v>1163</v>
      </c>
      <c r="E253" s="11" t="s">
        <v>1164</v>
      </c>
      <c r="F253" s="7" t="s">
        <v>1165</v>
      </c>
      <c r="G253" s="13">
        <v>-764</v>
      </c>
      <c r="H253" s="6">
        <v>1.8</v>
      </c>
      <c r="I253" s="6">
        <v>7.5</v>
      </c>
      <c r="J253" s="6"/>
      <c r="K253" s="7"/>
      <c r="N253" s="31"/>
      <c r="O253" s="32" t="s">
        <v>1301</v>
      </c>
      <c r="P253" s="31"/>
      <c r="Q253" s="33"/>
    </row>
    <row r="254" spans="1:17" x14ac:dyDescent="0.3">
      <c r="A254" s="7">
        <v>1.79</v>
      </c>
      <c r="B254" s="7" t="s">
        <v>933</v>
      </c>
      <c r="C254" s="11" t="s">
        <v>747</v>
      </c>
      <c r="D254" s="7" t="s">
        <v>745</v>
      </c>
      <c r="E254" s="7" t="s">
        <v>746</v>
      </c>
      <c r="F254" s="7" t="s">
        <v>744</v>
      </c>
      <c r="G254" s="13">
        <v>-564</v>
      </c>
      <c r="H254" s="6">
        <v>1.79</v>
      </c>
      <c r="I254" s="6">
        <v>7.4</v>
      </c>
      <c r="J254" s="6"/>
      <c r="K254" s="7"/>
      <c r="N254" s="19"/>
      <c r="O254" s="32" t="s">
        <v>1298</v>
      </c>
      <c r="P254" s="19"/>
      <c r="Q254" s="33"/>
    </row>
    <row r="255" spans="1:17" x14ac:dyDescent="0.3">
      <c r="A255" s="7">
        <v>1.95</v>
      </c>
      <c r="B255" s="7" t="s">
        <v>937</v>
      </c>
      <c r="C255" s="11" t="s">
        <v>241</v>
      </c>
      <c r="D255" s="7" t="s">
        <v>222</v>
      </c>
      <c r="E255" s="11" t="s">
        <v>223</v>
      </c>
      <c r="F255" s="7" t="s">
        <v>242</v>
      </c>
      <c r="G255" s="13">
        <v>-296</v>
      </c>
      <c r="H255" s="6">
        <v>1.95</v>
      </c>
      <c r="I255" s="6">
        <v>6.45</v>
      </c>
      <c r="J255" s="6">
        <v>1.5</v>
      </c>
      <c r="K255" s="7">
        <v>9.75</v>
      </c>
      <c r="N255" s="31"/>
      <c r="O255" s="32" t="s">
        <v>1302</v>
      </c>
      <c r="P255" s="31" t="s">
        <v>954</v>
      </c>
      <c r="Q255" s="33"/>
    </row>
    <row r="256" spans="1:17" x14ac:dyDescent="0.3">
      <c r="A256" s="7">
        <v>1.71</v>
      </c>
      <c r="B256" s="7" t="s">
        <v>933</v>
      </c>
      <c r="C256" s="11" t="s">
        <v>725</v>
      </c>
      <c r="D256" s="7" t="s">
        <v>54</v>
      </c>
      <c r="E256" s="11" t="s">
        <v>788</v>
      </c>
      <c r="F256" s="7" t="s">
        <v>53</v>
      </c>
      <c r="G256" s="13">
        <v>-260</v>
      </c>
      <c r="H256" s="6">
        <v>1.68</v>
      </c>
      <c r="I256" s="6">
        <v>7.54</v>
      </c>
      <c r="J256" s="6"/>
      <c r="K256" s="7"/>
      <c r="N256" s="19"/>
      <c r="O256" s="32" t="s">
        <v>944</v>
      </c>
      <c r="P256" s="19"/>
      <c r="Q256" s="33"/>
    </row>
    <row r="257" spans="1:17" x14ac:dyDescent="0.3">
      <c r="A257" s="7">
        <v>1.74</v>
      </c>
      <c r="B257" s="7" t="s">
        <v>933</v>
      </c>
      <c r="C257" s="11" t="s">
        <v>726</v>
      </c>
      <c r="D257" s="7" t="s">
        <v>52</v>
      </c>
      <c r="E257" s="11" t="s">
        <v>789</v>
      </c>
      <c r="F257" s="7" t="s">
        <v>51</v>
      </c>
      <c r="G257" s="13">
        <v>-311</v>
      </c>
      <c r="H257" s="6">
        <v>1.67</v>
      </c>
      <c r="I257" s="6">
        <v>7.15</v>
      </c>
      <c r="J257" s="6"/>
      <c r="K257" s="7"/>
      <c r="N257" s="19"/>
      <c r="O257" s="32" t="s">
        <v>944</v>
      </c>
      <c r="P257" s="19"/>
      <c r="Q257" s="33"/>
    </row>
    <row r="258" spans="1:17" x14ac:dyDescent="0.3">
      <c r="A258" s="7">
        <v>1.7190000000000001</v>
      </c>
      <c r="B258" s="7" t="s">
        <v>933</v>
      </c>
      <c r="C258" s="11" t="s">
        <v>930</v>
      </c>
      <c r="D258" s="7" t="s">
        <v>928</v>
      </c>
      <c r="E258" s="7" t="s">
        <v>824</v>
      </c>
      <c r="F258" s="7" t="s">
        <v>929</v>
      </c>
      <c r="G258" s="13"/>
      <c r="H258" s="6">
        <v>1.7190000000000001</v>
      </c>
      <c r="I258" s="6">
        <f>(7.16+7.2)/2</f>
        <v>7.18</v>
      </c>
      <c r="J258" s="6"/>
      <c r="K258" s="7"/>
      <c r="N258" s="19"/>
      <c r="O258" s="32" t="s">
        <v>1303</v>
      </c>
      <c r="P258" s="19"/>
      <c r="Q258" s="33"/>
    </row>
    <row r="259" spans="1:17" x14ac:dyDescent="0.3">
      <c r="A259" s="7">
        <v>1.54</v>
      </c>
      <c r="B259" s="7" t="s">
        <v>938</v>
      </c>
      <c r="C259" s="11" t="s">
        <v>790</v>
      </c>
      <c r="D259" s="7" t="s">
        <v>280</v>
      </c>
      <c r="E259" s="11" t="s">
        <v>791</v>
      </c>
      <c r="F259" s="7" t="s">
        <v>931</v>
      </c>
      <c r="G259" s="8">
        <f>-87.8*4.184</f>
        <v>-367.35520000000002</v>
      </c>
      <c r="H259" s="6">
        <v>1.54</v>
      </c>
      <c r="I259" s="6">
        <v>6.7</v>
      </c>
      <c r="J259" s="6"/>
      <c r="K259" s="9"/>
      <c r="N259" s="31" t="s">
        <v>944</v>
      </c>
      <c r="O259" s="32" t="s">
        <v>958</v>
      </c>
      <c r="P259" s="19"/>
      <c r="Q259" s="33"/>
    </row>
    <row r="260" spans="1:17" x14ac:dyDescent="0.3">
      <c r="A260" s="7">
        <v>1.9</v>
      </c>
      <c r="B260" s="7" t="s">
        <v>933</v>
      </c>
      <c r="C260" s="11" t="s">
        <v>1031</v>
      </c>
      <c r="D260" s="7" t="s">
        <v>531</v>
      </c>
      <c r="E260" s="7" t="s">
        <v>548</v>
      </c>
      <c r="F260" s="7" t="s">
        <v>550</v>
      </c>
      <c r="G260" s="13">
        <f>-30*4.184</f>
        <v>-125.52000000000001</v>
      </c>
      <c r="H260" s="6">
        <v>1.79</v>
      </c>
      <c r="I260" s="6">
        <v>8.07</v>
      </c>
      <c r="J260" s="6">
        <v>1.79</v>
      </c>
      <c r="K260" s="7">
        <v>31.2</v>
      </c>
      <c r="N260" s="31" t="s">
        <v>1313</v>
      </c>
      <c r="O260" s="32" t="s">
        <v>1128</v>
      </c>
      <c r="P260" s="31" t="s">
        <v>1128</v>
      </c>
      <c r="Q260" s="33"/>
    </row>
    <row r="261" spans="1:17" x14ac:dyDescent="0.3">
      <c r="A261" s="7">
        <v>1.7969999999999999</v>
      </c>
      <c r="B261" s="7" t="s">
        <v>937</v>
      </c>
      <c r="C261" s="11" t="s">
        <v>832</v>
      </c>
      <c r="D261" s="7" t="s">
        <v>89</v>
      </c>
      <c r="E261" s="11" t="s">
        <v>831</v>
      </c>
      <c r="F261" s="7" t="s">
        <v>38</v>
      </c>
      <c r="G261" s="13">
        <v>26.8</v>
      </c>
      <c r="H261" s="6">
        <v>1.77</v>
      </c>
      <c r="I261" s="6">
        <v>7.35</v>
      </c>
      <c r="J261" s="6"/>
      <c r="K261" s="7"/>
      <c r="N261" s="19"/>
      <c r="O261" s="32" t="s">
        <v>1304</v>
      </c>
      <c r="P261" s="19"/>
      <c r="Q261" s="33"/>
    </row>
    <row r="270" spans="1:17" x14ac:dyDescent="0.3">
      <c r="I270" s="26"/>
      <c r="J270" s="26"/>
      <c r="O270" s="21"/>
    </row>
  </sheetData>
  <sortState xmlns:xlrd2="http://schemas.microsoft.com/office/spreadsheetml/2017/richdata2" ref="A2:Q206">
    <sortCondition ref="F2:F206"/>
  </sortState>
  <phoneticPr fontId="3" type="noConversion"/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8A57-C05A-4B2A-BBF0-8DF2C2A79928}">
  <dimension ref="A1:U207"/>
  <sheetViews>
    <sheetView zoomScale="80" zoomScaleNormal="80" workbookViewId="0">
      <selection activeCell="I12" sqref="I12"/>
    </sheetView>
  </sheetViews>
  <sheetFormatPr defaultRowHeight="14.4" x14ac:dyDescent="0.3"/>
  <cols>
    <col min="1" max="1" width="8.88671875" style="40"/>
  </cols>
  <sheetData>
    <row r="1" spans="1:21" x14ac:dyDescent="0.3">
      <c r="A1" s="38" t="s">
        <v>1347</v>
      </c>
    </row>
    <row r="2" spans="1:21" x14ac:dyDescent="0.3">
      <c r="A2" s="39" t="s">
        <v>939</v>
      </c>
      <c r="B2" s="35" t="s">
        <v>1348</v>
      </c>
    </row>
    <row r="3" spans="1:21" x14ac:dyDescent="0.3">
      <c r="A3" s="39" t="s">
        <v>940</v>
      </c>
      <c r="B3" s="35" t="s">
        <v>1349</v>
      </c>
      <c r="M3" s="5"/>
      <c r="N3" s="5"/>
      <c r="O3" s="5"/>
      <c r="P3" s="5"/>
      <c r="Q3" s="5"/>
      <c r="R3" s="5"/>
      <c r="S3" s="5"/>
      <c r="T3" s="5"/>
      <c r="U3" s="5"/>
    </row>
    <row r="4" spans="1:21" x14ac:dyDescent="0.3">
      <c r="A4" s="39" t="s">
        <v>985</v>
      </c>
      <c r="B4" s="35" t="s">
        <v>1350</v>
      </c>
      <c r="M4" s="5"/>
      <c r="N4" s="5"/>
      <c r="O4" s="5"/>
      <c r="P4" s="7"/>
      <c r="Q4" s="7"/>
      <c r="R4" s="7"/>
      <c r="S4" s="7"/>
      <c r="T4" s="7"/>
      <c r="U4" s="7"/>
    </row>
    <row r="5" spans="1:21" x14ac:dyDescent="0.3">
      <c r="A5" s="39" t="s">
        <v>958</v>
      </c>
      <c r="B5" s="35" t="s">
        <v>1351</v>
      </c>
    </row>
    <row r="6" spans="1:21" x14ac:dyDescent="0.3">
      <c r="A6" s="39" t="s">
        <v>1352</v>
      </c>
      <c r="B6" s="35" t="s">
        <v>1353</v>
      </c>
    </row>
    <row r="7" spans="1:21" x14ac:dyDescent="0.3">
      <c r="A7" s="39" t="s">
        <v>976</v>
      </c>
      <c r="B7" s="35" t="s">
        <v>1354</v>
      </c>
    </row>
    <row r="8" spans="1:21" x14ac:dyDescent="0.3">
      <c r="A8" s="39" t="s">
        <v>1355</v>
      </c>
      <c r="B8" s="35" t="s">
        <v>1356</v>
      </c>
    </row>
    <row r="9" spans="1:21" x14ac:dyDescent="0.3">
      <c r="A9" s="39" t="s">
        <v>951</v>
      </c>
      <c r="B9" s="35" t="s">
        <v>1357</v>
      </c>
    </row>
    <row r="10" spans="1:21" x14ac:dyDescent="0.3">
      <c r="A10" s="39" t="s">
        <v>941</v>
      </c>
      <c r="B10" s="35" t="s">
        <v>1358</v>
      </c>
      <c r="M10" s="10"/>
      <c r="N10" s="7"/>
      <c r="O10" s="7"/>
      <c r="P10" s="7"/>
      <c r="Q10" s="7"/>
      <c r="R10" s="7"/>
      <c r="S10" s="7"/>
      <c r="T10" s="7"/>
      <c r="U10" s="7"/>
    </row>
    <row r="11" spans="1:21" x14ac:dyDescent="0.3">
      <c r="A11" s="39" t="s">
        <v>964</v>
      </c>
      <c r="B11" s="35" t="s">
        <v>1359</v>
      </c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3">
      <c r="A12" s="39" t="s">
        <v>944</v>
      </c>
      <c r="B12" s="35" t="s">
        <v>1360</v>
      </c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3">
      <c r="A13" s="39" t="s">
        <v>975</v>
      </c>
      <c r="B13" s="35" t="s">
        <v>1361</v>
      </c>
      <c r="M13" s="5"/>
      <c r="N13" s="5"/>
      <c r="O13" s="5"/>
      <c r="P13" s="5"/>
      <c r="Q13" s="5"/>
      <c r="R13" s="7"/>
      <c r="S13" s="7"/>
      <c r="T13" s="7"/>
      <c r="U13" s="7"/>
    </row>
    <row r="14" spans="1:21" x14ac:dyDescent="0.3">
      <c r="A14" s="39" t="s">
        <v>945</v>
      </c>
      <c r="B14" s="35" t="s">
        <v>1362</v>
      </c>
    </row>
    <row r="15" spans="1:21" x14ac:dyDescent="0.3">
      <c r="A15" s="39" t="s">
        <v>946</v>
      </c>
      <c r="B15" s="35" t="s">
        <v>1363</v>
      </c>
    </row>
    <row r="16" spans="1:21" x14ac:dyDescent="0.3">
      <c r="A16" s="39" t="s">
        <v>1172</v>
      </c>
      <c r="B16" s="35" t="s">
        <v>1364</v>
      </c>
    </row>
    <row r="17" spans="1:16" x14ac:dyDescent="0.3">
      <c r="A17" s="39" t="s">
        <v>1053</v>
      </c>
      <c r="B17" s="35" t="s">
        <v>1365</v>
      </c>
    </row>
    <row r="18" spans="1:16" x14ac:dyDescent="0.3">
      <c r="A18" s="39" t="s">
        <v>1366</v>
      </c>
      <c r="B18" s="35" t="s">
        <v>1367</v>
      </c>
      <c r="I18" s="5"/>
      <c r="J18" s="5"/>
      <c r="K18" s="5"/>
      <c r="L18" s="5"/>
      <c r="M18" s="5"/>
      <c r="N18" s="5"/>
      <c r="O18" s="5"/>
      <c r="P18" s="5"/>
    </row>
    <row r="19" spans="1:16" x14ac:dyDescent="0.3">
      <c r="A19" s="39" t="s">
        <v>1233</v>
      </c>
      <c r="B19" s="35" t="s">
        <v>1368</v>
      </c>
      <c r="I19" s="7"/>
      <c r="J19" s="7"/>
      <c r="K19" s="5"/>
      <c r="L19" s="5"/>
      <c r="M19" s="5"/>
      <c r="N19" s="5"/>
      <c r="O19" s="5"/>
      <c r="P19" s="5"/>
    </row>
    <row r="20" spans="1:16" x14ac:dyDescent="0.3">
      <c r="A20" s="39" t="s">
        <v>947</v>
      </c>
      <c r="B20" s="35" t="s">
        <v>1369</v>
      </c>
      <c r="I20" s="7"/>
      <c r="J20" s="7"/>
      <c r="K20" s="7"/>
      <c r="L20" s="7"/>
      <c r="M20" s="7"/>
      <c r="N20" s="7"/>
      <c r="O20" s="7"/>
      <c r="P20" s="7"/>
    </row>
    <row r="21" spans="1:16" x14ac:dyDescent="0.3">
      <c r="A21" s="39" t="s">
        <v>948</v>
      </c>
      <c r="B21" s="35" t="s">
        <v>1370</v>
      </c>
      <c r="I21" s="5"/>
      <c r="J21" s="5"/>
      <c r="K21" s="7"/>
      <c r="L21" s="7"/>
      <c r="M21" s="7"/>
      <c r="N21" s="7"/>
      <c r="O21" s="7"/>
      <c r="P21" s="7"/>
    </row>
    <row r="22" spans="1:16" x14ac:dyDescent="0.3">
      <c r="A22" s="39" t="s">
        <v>954</v>
      </c>
      <c r="B22" s="35" t="s">
        <v>1371</v>
      </c>
      <c r="I22" s="1"/>
      <c r="J22" s="1"/>
      <c r="K22" s="1"/>
      <c r="L22" s="1"/>
      <c r="M22" s="1"/>
      <c r="N22" s="1"/>
      <c r="O22" s="5"/>
      <c r="P22" s="5"/>
    </row>
    <row r="23" spans="1:16" x14ac:dyDescent="0.3">
      <c r="A23" s="39" t="s">
        <v>952</v>
      </c>
      <c r="B23" s="35" t="s">
        <v>1372</v>
      </c>
    </row>
    <row r="24" spans="1:16" x14ac:dyDescent="0.3">
      <c r="A24" s="39" t="s">
        <v>949</v>
      </c>
      <c r="B24" s="35" t="s">
        <v>1373</v>
      </c>
    </row>
    <row r="25" spans="1:16" x14ac:dyDescent="0.3">
      <c r="A25" s="39" t="s">
        <v>950</v>
      </c>
      <c r="B25" s="35" t="s">
        <v>1374</v>
      </c>
    </row>
    <row r="26" spans="1:16" x14ac:dyDescent="0.3">
      <c r="A26" s="39" t="s">
        <v>1120</v>
      </c>
      <c r="B26" s="35" t="s">
        <v>1375</v>
      </c>
    </row>
    <row r="27" spans="1:16" x14ac:dyDescent="0.3">
      <c r="A27" s="39" t="s">
        <v>1180</v>
      </c>
      <c r="B27" s="35" t="s">
        <v>1376</v>
      </c>
    </row>
    <row r="28" spans="1:16" x14ac:dyDescent="0.3">
      <c r="A28" s="39" t="s">
        <v>953</v>
      </c>
      <c r="B28" s="35" t="s">
        <v>1377</v>
      </c>
    </row>
    <row r="29" spans="1:16" x14ac:dyDescent="0.3">
      <c r="A29" s="39" t="s">
        <v>1131</v>
      </c>
      <c r="B29" s="35" t="s">
        <v>1378</v>
      </c>
    </row>
    <row r="30" spans="1:16" x14ac:dyDescent="0.3">
      <c r="A30" s="39" t="s">
        <v>1379</v>
      </c>
      <c r="B30" s="35" t="s">
        <v>1380</v>
      </c>
    </row>
    <row r="31" spans="1:16" x14ac:dyDescent="0.3">
      <c r="A31" s="39" t="s">
        <v>1177</v>
      </c>
      <c r="B31" s="35" t="s">
        <v>1381</v>
      </c>
    </row>
    <row r="32" spans="1:16" x14ac:dyDescent="0.3">
      <c r="A32" s="39" t="s">
        <v>1125</v>
      </c>
      <c r="B32" s="35" t="s">
        <v>1382</v>
      </c>
    </row>
    <row r="33" spans="1:2" x14ac:dyDescent="0.3">
      <c r="A33" s="39" t="s">
        <v>1383</v>
      </c>
      <c r="B33" s="35" t="s">
        <v>1384</v>
      </c>
    </row>
    <row r="34" spans="1:2" x14ac:dyDescent="0.3">
      <c r="A34" s="39" t="s">
        <v>1385</v>
      </c>
      <c r="B34" s="35" t="s">
        <v>1386</v>
      </c>
    </row>
    <row r="35" spans="1:2" x14ac:dyDescent="0.3">
      <c r="A35" s="39" t="s">
        <v>1332</v>
      </c>
      <c r="B35" s="35" t="s">
        <v>1387</v>
      </c>
    </row>
    <row r="36" spans="1:2" x14ac:dyDescent="0.3">
      <c r="A36" s="39" t="s">
        <v>1307</v>
      </c>
      <c r="B36" s="35" t="s">
        <v>1388</v>
      </c>
    </row>
    <row r="37" spans="1:2" x14ac:dyDescent="0.3">
      <c r="A37" s="39" t="s">
        <v>981</v>
      </c>
      <c r="B37" s="35" t="s">
        <v>1389</v>
      </c>
    </row>
    <row r="38" spans="1:2" x14ac:dyDescent="0.3">
      <c r="A38" s="39" t="s">
        <v>1054</v>
      </c>
      <c r="B38" s="35" t="s">
        <v>1390</v>
      </c>
    </row>
    <row r="39" spans="1:2" x14ac:dyDescent="0.3">
      <c r="A39" s="39" t="s">
        <v>1090</v>
      </c>
      <c r="B39" s="35" t="s">
        <v>1391</v>
      </c>
    </row>
    <row r="40" spans="1:2" x14ac:dyDescent="0.3">
      <c r="A40" s="39" t="s">
        <v>1055</v>
      </c>
      <c r="B40" s="35" t="s">
        <v>1392</v>
      </c>
    </row>
    <row r="41" spans="1:2" x14ac:dyDescent="0.3">
      <c r="A41" s="39" t="s">
        <v>1119</v>
      </c>
      <c r="B41" s="35" t="s">
        <v>1393</v>
      </c>
    </row>
    <row r="42" spans="1:2" x14ac:dyDescent="0.3">
      <c r="A42" s="39" t="s">
        <v>1305</v>
      </c>
      <c r="B42" s="35" t="s">
        <v>1394</v>
      </c>
    </row>
    <row r="43" spans="1:2" x14ac:dyDescent="0.3">
      <c r="A43" s="39" t="s">
        <v>1123</v>
      </c>
      <c r="B43" s="35" t="s">
        <v>1395</v>
      </c>
    </row>
    <row r="44" spans="1:2" x14ac:dyDescent="0.3">
      <c r="A44" s="39" t="s">
        <v>1181</v>
      </c>
      <c r="B44" s="35" t="s">
        <v>1396</v>
      </c>
    </row>
    <row r="45" spans="1:2" x14ac:dyDescent="0.3">
      <c r="A45" s="39" t="s">
        <v>1105</v>
      </c>
      <c r="B45" s="35" t="s">
        <v>1397</v>
      </c>
    </row>
    <row r="46" spans="1:2" x14ac:dyDescent="0.3">
      <c r="A46" s="39" t="s">
        <v>1398</v>
      </c>
      <c r="B46" s="35" t="s">
        <v>1399</v>
      </c>
    </row>
    <row r="47" spans="1:2" x14ac:dyDescent="0.3">
      <c r="A47" s="39" t="s">
        <v>1400</v>
      </c>
      <c r="B47" s="35" t="s">
        <v>1401</v>
      </c>
    </row>
    <row r="48" spans="1:2" x14ac:dyDescent="0.3">
      <c r="A48" s="39" t="s">
        <v>961</v>
      </c>
      <c r="B48" s="35" t="s">
        <v>1402</v>
      </c>
    </row>
    <row r="49" spans="1:2" x14ac:dyDescent="0.3">
      <c r="A49" s="39" t="s">
        <v>1082</v>
      </c>
      <c r="B49" s="35" t="s">
        <v>1403</v>
      </c>
    </row>
    <row r="50" spans="1:2" x14ac:dyDescent="0.3">
      <c r="A50" s="39" t="s">
        <v>1083</v>
      </c>
      <c r="B50" s="35" t="s">
        <v>1404</v>
      </c>
    </row>
    <row r="51" spans="1:2" x14ac:dyDescent="0.3">
      <c r="A51" s="39" t="s">
        <v>1052</v>
      </c>
      <c r="B51" s="35" t="s">
        <v>1405</v>
      </c>
    </row>
    <row r="52" spans="1:2" x14ac:dyDescent="0.3">
      <c r="A52" s="39" t="s">
        <v>1132</v>
      </c>
      <c r="B52" s="35" t="s">
        <v>1406</v>
      </c>
    </row>
    <row r="53" spans="1:2" x14ac:dyDescent="0.3">
      <c r="A53" s="39" t="s">
        <v>1187</v>
      </c>
      <c r="B53" s="35" t="s">
        <v>1407</v>
      </c>
    </row>
    <row r="54" spans="1:2" x14ac:dyDescent="0.3">
      <c r="A54" s="39" t="s">
        <v>1113</v>
      </c>
      <c r="B54" s="35" t="s">
        <v>1408</v>
      </c>
    </row>
    <row r="55" spans="1:2" x14ac:dyDescent="0.3">
      <c r="A55" s="39" t="s">
        <v>1188</v>
      </c>
      <c r="B55" s="35" t="s">
        <v>1409</v>
      </c>
    </row>
    <row r="56" spans="1:2" x14ac:dyDescent="0.3">
      <c r="A56" s="39" t="s">
        <v>1095</v>
      </c>
      <c r="B56" s="35" t="s">
        <v>1410</v>
      </c>
    </row>
    <row r="57" spans="1:2" x14ac:dyDescent="0.3">
      <c r="A57" s="39" t="s">
        <v>1126</v>
      </c>
      <c r="B57" s="35" t="s">
        <v>1411</v>
      </c>
    </row>
    <row r="58" spans="1:2" x14ac:dyDescent="0.3">
      <c r="A58" s="39" t="s">
        <v>1412</v>
      </c>
      <c r="B58" s="35" t="s">
        <v>1413</v>
      </c>
    </row>
    <row r="59" spans="1:2" x14ac:dyDescent="0.3">
      <c r="A59" s="39" t="s">
        <v>1226</v>
      </c>
      <c r="B59" s="35" t="s">
        <v>1414</v>
      </c>
    </row>
    <row r="60" spans="1:2" x14ac:dyDescent="0.3">
      <c r="A60" s="39" t="s">
        <v>1415</v>
      </c>
      <c r="B60" s="35" t="s">
        <v>1416</v>
      </c>
    </row>
    <row r="61" spans="1:2" x14ac:dyDescent="0.3">
      <c r="A61" s="39" t="s">
        <v>1306</v>
      </c>
      <c r="B61" s="35" t="s">
        <v>1417</v>
      </c>
    </row>
    <row r="62" spans="1:2" x14ac:dyDescent="0.3">
      <c r="A62" s="39" t="s">
        <v>962</v>
      </c>
      <c r="B62" s="35" t="s">
        <v>1418</v>
      </c>
    </row>
    <row r="63" spans="1:2" x14ac:dyDescent="0.3">
      <c r="A63" s="39" t="s">
        <v>1091</v>
      </c>
      <c r="B63" s="35" t="s">
        <v>1419</v>
      </c>
    </row>
    <row r="64" spans="1:2" x14ac:dyDescent="0.3">
      <c r="A64" s="39" t="s">
        <v>1051</v>
      </c>
      <c r="B64" s="35" t="s">
        <v>1420</v>
      </c>
    </row>
    <row r="65" spans="1:2" x14ac:dyDescent="0.3">
      <c r="A65" s="39" t="s">
        <v>1084</v>
      </c>
      <c r="B65" s="35" t="s">
        <v>1421</v>
      </c>
    </row>
    <row r="66" spans="1:2" x14ac:dyDescent="0.3">
      <c r="A66" s="39" t="s">
        <v>963</v>
      </c>
      <c r="B66" s="35" t="s">
        <v>1422</v>
      </c>
    </row>
    <row r="67" spans="1:2" x14ac:dyDescent="0.3">
      <c r="A67" s="39" t="s">
        <v>1106</v>
      </c>
      <c r="B67" s="35" t="s">
        <v>1423</v>
      </c>
    </row>
    <row r="68" spans="1:2" x14ac:dyDescent="0.3">
      <c r="A68" s="39" t="s">
        <v>1193</v>
      </c>
      <c r="B68" s="35" t="s">
        <v>1424</v>
      </c>
    </row>
    <row r="69" spans="1:2" x14ac:dyDescent="0.3">
      <c r="A69" s="39" t="s">
        <v>1085</v>
      </c>
      <c r="B69" s="35" t="s">
        <v>1425</v>
      </c>
    </row>
    <row r="70" spans="1:2" x14ac:dyDescent="0.3">
      <c r="A70" s="39" t="s">
        <v>1057</v>
      </c>
      <c r="B70" s="35" t="s">
        <v>1426</v>
      </c>
    </row>
    <row r="71" spans="1:2" ht="15.6" x14ac:dyDescent="0.3">
      <c r="A71" s="39" t="s">
        <v>1107</v>
      </c>
      <c r="B71" s="35" t="s">
        <v>1427</v>
      </c>
    </row>
    <row r="72" spans="1:2" x14ac:dyDescent="0.3">
      <c r="A72" s="39" t="s">
        <v>1195</v>
      </c>
      <c r="B72" s="35" t="s">
        <v>1428</v>
      </c>
    </row>
    <row r="73" spans="1:2" x14ac:dyDescent="0.3">
      <c r="A73" s="39" t="s">
        <v>1108</v>
      </c>
      <c r="B73" s="35" t="s">
        <v>1429</v>
      </c>
    </row>
    <row r="74" spans="1:2" x14ac:dyDescent="0.3">
      <c r="A74" s="39" t="s">
        <v>1430</v>
      </c>
      <c r="B74" s="35" t="s">
        <v>1431</v>
      </c>
    </row>
    <row r="75" spans="1:2" x14ac:dyDescent="0.3">
      <c r="A75" s="39" t="s">
        <v>1059</v>
      </c>
      <c r="B75" s="35" t="s">
        <v>1432</v>
      </c>
    </row>
    <row r="76" spans="1:2" x14ac:dyDescent="0.3">
      <c r="A76" s="39" t="s">
        <v>1086</v>
      </c>
      <c r="B76" s="35" t="s">
        <v>1433</v>
      </c>
    </row>
    <row r="77" spans="1:2" x14ac:dyDescent="0.3">
      <c r="A77" s="39" t="s">
        <v>1056</v>
      </c>
      <c r="B77" s="35" t="s">
        <v>1434</v>
      </c>
    </row>
    <row r="78" spans="1:2" x14ac:dyDescent="0.3">
      <c r="A78" s="39" t="s">
        <v>1112</v>
      </c>
      <c r="B78" s="35" t="s">
        <v>1435</v>
      </c>
    </row>
    <row r="79" spans="1:2" x14ac:dyDescent="0.3">
      <c r="A79" s="39" t="s">
        <v>1200</v>
      </c>
      <c r="B79" s="35" t="s">
        <v>1436</v>
      </c>
    </row>
    <row r="80" spans="1:2" x14ac:dyDescent="0.3">
      <c r="A80" s="39" t="s">
        <v>1096</v>
      </c>
      <c r="B80" s="35" t="s">
        <v>1437</v>
      </c>
    </row>
    <row r="81" spans="1:2" x14ac:dyDescent="0.3">
      <c r="A81" s="39" t="s">
        <v>1127</v>
      </c>
      <c r="B81" s="35" t="s">
        <v>1438</v>
      </c>
    </row>
    <row r="82" spans="1:2" x14ac:dyDescent="0.3">
      <c r="A82" s="39" t="s">
        <v>1439</v>
      </c>
      <c r="B82" s="35" t="s">
        <v>1440</v>
      </c>
    </row>
    <row r="83" spans="1:2" x14ac:dyDescent="0.3">
      <c r="A83" s="39" t="s">
        <v>1318</v>
      </c>
      <c r="B83" s="35" t="s">
        <v>1441</v>
      </c>
    </row>
    <row r="84" spans="1:2" x14ac:dyDescent="0.3">
      <c r="A84" s="39" t="s">
        <v>1278</v>
      </c>
      <c r="B84" s="35" t="s">
        <v>1442</v>
      </c>
    </row>
    <row r="85" spans="1:2" x14ac:dyDescent="0.3">
      <c r="A85" s="39" t="s">
        <v>1337</v>
      </c>
      <c r="B85" s="35" t="s">
        <v>1443</v>
      </c>
    </row>
    <row r="86" spans="1:2" x14ac:dyDescent="0.3">
      <c r="A86" s="39" t="s">
        <v>1205</v>
      </c>
      <c r="B86" s="35" t="s">
        <v>1444</v>
      </c>
    </row>
    <row r="87" spans="1:2" x14ac:dyDescent="0.3">
      <c r="A87" s="39" t="s">
        <v>1223</v>
      </c>
      <c r="B87" s="35" t="s">
        <v>1445</v>
      </c>
    </row>
    <row r="88" spans="1:2" x14ac:dyDescent="0.3">
      <c r="A88" s="39" t="s">
        <v>1446</v>
      </c>
      <c r="B88" s="35" t="s">
        <v>1447</v>
      </c>
    </row>
    <row r="89" spans="1:2" x14ac:dyDescent="0.3">
      <c r="A89" s="39" t="s">
        <v>1133</v>
      </c>
      <c r="B89" s="35" t="s">
        <v>1448</v>
      </c>
    </row>
    <row r="90" spans="1:2" x14ac:dyDescent="0.3">
      <c r="A90" s="39" t="s">
        <v>1319</v>
      </c>
      <c r="B90" s="35" t="s">
        <v>1449</v>
      </c>
    </row>
    <row r="91" spans="1:2" x14ac:dyDescent="0.3">
      <c r="A91" s="39" t="s">
        <v>1450</v>
      </c>
      <c r="B91" s="35" t="s">
        <v>1451</v>
      </c>
    </row>
    <row r="92" spans="1:2" x14ac:dyDescent="0.3">
      <c r="A92" s="39" t="s">
        <v>1452</v>
      </c>
      <c r="B92" s="35" t="s">
        <v>1453</v>
      </c>
    </row>
    <row r="93" spans="1:2" x14ac:dyDescent="0.3">
      <c r="A93" s="39" t="s">
        <v>1110</v>
      </c>
      <c r="B93" s="35" t="s">
        <v>1454</v>
      </c>
    </row>
    <row r="94" spans="1:2" x14ac:dyDescent="0.3">
      <c r="A94" s="39" t="s">
        <v>1455</v>
      </c>
      <c r="B94" s="35" t="s">
        <v>1456</v>
      </c>
    </row>
    <row r="95" spans="1:2" x14ac:dyDescent="0.3">
      <c r="A95" s="39" t="s">
        <v>1117</v>
      </c>
      <c r="B95" s="35" t="s">
        <v>1457</v>
      </c>
    </row>
    <row r="96" spans="1:2" x14ac:dyDescent="0.3">
      <c r="A96" s="39" t="s">
        <v>1458</v>
      </c>
      <c r="B96" s="35" t="s">
        <v>1459</v>
      </c>
    </row>
    <row r="97" spans="1:2" x14ac:dyDescent="0.3">
      <c r="A97" s="39" t="s">
        <v>1058</v>
      </c>
      <c r="B97" s="35" t="s">
        <v>1460</v>
      </c>
    </row>
    <row r="98" spans="1:2" x14ac:dyDescent="0.3">
      <c r="A98" s="39" t="s">
        <v>967</v>
      </c>
      <c r="B98" s="35" t="s">
        <v>1461</v>
      </c>
    </row>
    <row r="99" spans="1:2" x14ac:dyDescent="0.3">
      <c r="A99" s="39" t="s">
        <v>968</v>
      </c>
      <c r="B99" s="35" t="s">
        <v>1462</v>
      </c>
    </row>
    <row r="100" spans="1:2" x14ac:dyDescent="0.3">
      <c r="A100" s="39" t="s">
        <v>1111</v>
      </c>
      <c r="B100" s="35" t="s">
        <v>1463</v>
      </c>
    </row>
    <row r="101" spans="1:2" x14ac:dyDescent="0.3">
      <c r="A101" s="39" t="s">
        <v>1464</v>
      </c>
      <c r="B101" s="35" t="s">
        <v>1465</v>
      </c>
    </row>
    <row r="102" spans="1:2" x14ac:dyDescent="0.3">
      <c r="A102" s="39" t="s">
        <v>1217</v>
      </c>
      <c r="B102" s="35" t="s">
        <v>1466</v>
      </c>
    </row>
    <row r="103" spans="1:2" x14ac:dyDescent="0.3">
      <c r="A103" s="39" t="s">
        <v>1467</v>
      </c>
      <c r="B103" s="35" t="s">
        <v>1468</v>
      </c>
    </row>
    <row r="104" spans="1:2" x14ac:dyDescent="0.3">
      <c r="A104" s="39" t="s">
        <v>1248</v>
      </c>
      <c r="B104" s="35" t="s">
        <v>1469</v>
      </c>
    </row>
    <row r="105" spans="1:2" x14ac:dyDescent="0.3">
      <c r="A105" s="39" t="s">
        <v>1087</v>
      </c>
      <c r="B105" s="35" t="s">
        <v>1470</v>
      </c>
    </row>
    <row r="106" spans="1:2" x14ac:dyDescent="0.3">
      <c r="A106" s="39" t="s">
        <v>1088</v>
      </c>
      <c r="B106" s="35" t="s">
        <v>1471</v>
      </c>
    </row>
    <row r="107" spans="1:2" x14ac:dyDescent="0.3">
      <c r="A107" s="39" t="s">
        <v>1114</v>
      </c>
      <c r="B107" s="35" t="s">
        <v>1472</v>
      </c>
    </row>
    <row r="108" spans="1:2" x14ac:dyDescent="0.3">
      <c r="A108" s="39" t="s">
        <v>1219</v>
      </c>
      <c r="B108" s="35" t="s">
        <v>1473</v>
      </c>
    </row>
    <row r="109" spans="1:2" x14ac:dyDescent="0.3">
      <c r="A109" s="39" t="s">
        <v>1220</v>
      </c>
      <c r="B109" s="35" t="s">
        <v>1474</v>
      </c>
    </row>
    <row r="110" spans="1:2" x14ac:dyDescent="0.3">
      <c r="A110" s="39" t="s">
        <v>1475</v>
      </c>
      <c r="B110" s="35" t="s">
        <v>1476</v>
      </c>
    </row>
    <row r="111" spans="1:2" x14ac:dyDescent="0.3">
      <c r="A111" s="39" t="s">
        <v>1115</v>
      </c>
      <c r="B111" s="35" t="s">
        <v>1477</v>
      </c>
    </row>
    <row r="112" spans="1:2" x14ac:dyDescent="0.3">
      <c r="A112" s="39" t="s">
        <v>1478</v>
      </c>
      <c r="B112" s="35" t="s">
        <v>1479</v>
      </c>
    </row>
    <row r="113" spans="1:2" x14ac:dyDescent="0.3">
      <c r="A113" s="39" t="s">
        <v>1480</v>
      </c>
      <c r="B113" s="35" t="s">
        <v>1481</v>
      </c>
    </row>
    <row r="114" spans="1:2" x14ac:dyDescent="0.3">
      <c r="A114" s="39" t="s">
        <v>1308</v>
      </c>
      <c r="B114" s="35" t="s">
        <v>1482</v>
      </c>
    </row>
    <row r="115" spans="1:2" x14ac:dyDescent="0.3">
      <c r="A115" s="39" t="s">
        <v>1227</v>
      </c>
      <c r="B115" s="35" t="s">
        <v>1483</v>
      </c>
    </row>
    <row r="116" spans="1:2" x14ac:dyDescent="0.3">
      <c r="A116" s="39" t="s">
        <v>1128</v>
      </c>
      <c r="B116" s="35" t="s">
        <v>1484</v>
      </c>
    </row>
    <row r="117" spans="1:2" x14ac:dyDescent="0.3">
      <c r="A117" s="39" t="s">
        <v>1485</v>
      </c>
      <c r="B117" s="35" t="s">
        <v>1486</v>
      </c>
    </row>
    <row r="118" spans="1:2" x14ac:dyDescent="0.3">
      <c r="A118" s="39" t="s">
        <v>1092</v>
      </c>
      <c r="B118" s="35" t="s">
        <v>1487</v>
      </c>
    </row>
    <row r="119" spans="1:2" x14ac:dyDescent="0.3">
      <c r="A119" s="39" t="s">
        <v>1060</v>
      </c>
      <c r="B119" s="35" t="s">
        <v>1488</v>
      </c>
    </row>
    <row r="120" spans="1:2" x14ac:dyDescent="0.3">
      <c r="A120" s="39" t="s">
        <v>1116</v>
      </c>
      <c r="B120" s="35" t="s">
        <v>1489</v>
      </c>
    </row>
    <row r="121" spans="1:2" x14ac:dyDescent="0.3">
      <c r="A121" s="39" t="s">
        <v>1490</v>
      </c>
      <c r="B121" s="35" t="s">
        <v>1491</v>
      </c>
    </row>
    <row r="122" spans="1:2" x14ac:dyDescent="0.3">
      <c r="A122" s="39" t="s">
        <v>972</v>
      </c>
      <c r="B122" s="35" t="s">
        <v>1492</v>
      </c>
    </row>
    <row r="123" spans="1:2" x14ac:dyDescent="0.3">
      <c r="A123" s="39" t="s">
        <v>1129</v>
      </c>
      <c r="B123" s="35" t="s">
        <v>1493</v>
      </c>
    </row>
    <row r="124" spans="1:2" x14ac:dyDescent="0.3">
      <c r="A124" s="39" t="s">
        <v>1494</v>
      </c>
      <c r="B124" s="35" t="s">
        <v>1495</v>
      </c>
    </row>
    <row r="125" spans="1:2" x14ac:dyDescent="0.3">
      <c r="A125" s="39" t="s">
        <v>1130</v>
      </c>
      <c r="B125" s="35" t="s">
        <v>1496</v>
      </c>
    </row>
    <row r="126" spans="1:2" x14ac:dyDescent="0.3">
      <c r="A126" s="39" t="s">
        <v>1497</v>
      </c>
      <c r="B126" s="35" t="s">
        <v>1498</v>
      </c>
    </row>
    <row r="127" spans="1:2" x14ac:dyDescent="0.3">
      <c r="A127" s="39" t="s">
        <v>1309</v>
      </c>
      <c r="B127" s="35" t="s">
        <v>1499</v>
      </c>
    </row>
    <row r="128" spans="1:2" x14ac:dyDescent="0.3">
      <c r="A128" s="39" t="s">
        <v>980</v>
      </c>
      <c r="B128" s="35" t="s">
        <v>1500</v>
      </c>
    </row>
    <row r="129" spans="1:2" x14ac:dyDescent="0.3">
      <c r="A129" s="39" t="s">
        <v>1118</v>
      </c>
      <c r="B129" s="35" t="s">
        <v>1501</v>
      </c>
    </row>
    <row r="130" spans="1:2" x14ac:dyDescent="0.3">
      <c r="A130" s="39" t="s">
        <v>1144</v>
      </c>
      <c r="B130" s="35" t="s">
        <v>1502</v>
      </c>
    </row>
    <row r="131" spans="1:2" x14ac:dyDescent="0.3">
      <c r="A131" s="39" t="s">
        <v>1321</v>
      </c>
      <c r="B131" s="35" t="s">
        <v>1503</v>
      </c>
    </row>
    <row r="132" spans="1:2" x14ac:dyDescent="0.3">
      <c r="A132" s="39" t="s">
        <v>1155</v>
      </c>
      <c r="B132" s="35" t="s">
        <v>1504</v>
      </c>
    </row>
    <row r="133" spans="1:2" x14ac:dyDescent="0.3">
      <c r="A133" s="39" t="s">
        <v>1322</v>
      </c>
      <c r="B133" s="35" t="s">
        <v>1505</v>
      </c>
    </row>
    <row r="134" spans="1:2" x14ac:dyDescent="0.3">
      <c r="A134" s="39" t="s">
        <v>1506</v>
      </c>
      <c r="B134" s="35" t="s">
        <v>1507</v>
      </c>
    </row>
    <row r="135" spans="1:2" x14ac:dyDescent="0.3">
      <c r="A135" s="39" t="s">
        <v>1508</v>
      </c>
      <c r="B135" s="35" t="s">
        <v>1509</v>
      </c>
    </row>
    <row r="136" spans="1:2" x14ac:dyDescent="0.3">
      <c r="A136" s="39" t="s">
        <v>1324</v>
      </c>
      <c r="B136" s="35" t="s">
        <v>1510</v>
      </c>
    </row>
    <row r="137" spans="1:2" x14ac:dyDescent="0.3">
      <c r="A137" s="39" t="s">
        <v>1134</v>
      </c>
      <c r="B137" s="35" t="s">
        <v>1511</v>
      </c>
    </row>
    <row r="138" spans="1:2" x14ac:dyDescent="0.3">
      <c r="A138" s="39" t="s">
        <v>1156</v>
      </c>
      <c r="B138" s="35" t="s">
        <v>1512</v>
      </c>
    </row>
    <row r="139" spans="1:2" x14ac:dyDescent="0.3">
      <c r="A139" s="39" t="s">
        <v>1513</v>
      </c>
      <c r="B139" s="35" t="s">
        <v>1514</v>
      </c>
    </row>
    <row r="140" spans="1:2" x14ac:dyDescent="0.3">
      <c r="A140" s="39" t="s">
        <v>1343</v>
      </c>
      <c r="B140" s="35" t="s">
        <v>1515</v>
      </c>
    </row>
    <row r="141" spans="1:2" x14ac:dyDescent="0.3">
      <c r="A141" s="39" t="s">
        <v>1310</v>
      </c>
      <c r="B141" s="35" t="s">
        <v>1516</v>
      </c>
    </row>
    <row r="142" spans="1:2" x14ac:dyDescent="0.3">
      <c r="A142" s="39" t="s">
        <v>1517</v>
      </c>
      <c r="B142" s="35" t="s">
        <v>1518</v>
      </c>
    </row>
    <row r="143" spans="1:2" x14ac:dyDescent="0.3">
      <c r="A143" s="39" t="s">
        <v>1519</v>
      </c>
      <c r="B143" s="35" t="s">
        <v>1520</v>
      </c>
    </row>
    <row r="144" spans="1:2" x14ac:dyDescent="0.3">
      <c r="A144" s="39" t="s">
        <v>1521</v>
      </c>
      <c r="B144" s="35" t="s">
        <v>1522</v>
      </c>
    </row>
    <row r="145" spans="1:2" x14ac:dyDescent="0.3">
      <c r="A145" s="39" t="s">
        <v>987</v>
      </c>
      <c r="B145" s="35" t="s">
        <v>1523</v>
      </c>
    </row>
    <row r="146" spans="1:2" x14ac:dyDescent="0.3">
      <c r="A146" s="39" t="s">
        <v>994</v>
      </c>
      <c r="B146" s="35" t="s">
        <v>1524</v>
      </c>
    </row>
    <row r="147" spans="1:2" x14ac:dyDescent="0.3">
      <c r="A147" s="39" t="s">
        <v>1089</v>
      </c>
      <c r="B147" s="35" t="s">
        <v>1525</v>
      </c>
    </row>
    <row r="148" spans="1:2" x14ac:dyDescent="0.3">
      <c r="A148" s="39" t="s">
        <v>1121</v>
      </c>
      <c r="B148" s="35" t="s">
        <v>1526</v>
      </c>
    </row>
    <row r="149" spans="1:2" x14ac:dyDescent="0.3">
      <c r="A149" s="39" t="s">
        <v>1157</v>
      </c>
      <c r="B149" s="35" t="s">
        <v>1527</v>
      </c>
    </row>
    <row r="150" spans="1:2" x14ac:dyDescent="0.3">
      <c r="A150" s="39" t="s">
        <v>1145</v>
      </c>
      <c r="B150" s="35" t="s">
        <v>1528</v>
      </c>
    </row>
    <row r="151" spans="1:2" x14ac:dyDescent="0.3">
      <c r="A151" s="39" t="s">
        <v>1529</v>
      </c>
      <c r="B151" s="35" t="s">
        <v>1530</v>
      </c>
    </row>
    <row r="152" spans="1:2" x14ac:dyDescent="0.3">
      <c r="A152" s="39" t="s">
        <v>1531</v>
      </c>
      <c r="B152" s="35" t="s">
        <v>1532</v>
      </c>
    </row>
    <row r="153" spans="1:2" x14ac:dyDescent="0.3">
      <c r="A153" s="39" t="s">
        <v>1533</v>
      </c>
      <c r="B153" s="35" t="s">
        <v>1534</v>
      </c>
    </row>
    <row r="154" spans="1:2" x14ac:dyDescent="0.3">
      <c r="A154" s="39" t="s">
        <v>1260</v>
      </c>
      <c r="B154" s="35" t="s">
        <v>1535</v>
      </c>
    </row>
    <row r="155" spans="1:2" x14ac:dyDescent="0.3">
      <c r="A155" s="39" t="s">
        <v>1135</v>
      </c>
      <c r="B155" s="35" t="s">
        <v>1536</v>
      </c>
    </row>
    <row r="156" spans="1:2" x14ac:dyDescent="0.3">
      <c r="A156" s="39" t="s">
        <v>1146</v>
      </c>
      <c r="B156" s="35" t="s">
        <v>1537</v>
      </c>
    </row>
    <row r="157" spans="1:2" x14ac:dyDescent="0.3">
      <c r="A157" s="39" t="s">
        <v>1158</v>
      </c>
      <c r="B157" s="35" t="s">
        <v>1538</v>
      </c>
    </row>
    <row r="158" spans="1:2" x14ac:dyDescent="0.3">
      <c r="A158" s="39" t="s">
        <v>1266</v>
      </c>
      <c r="B158" s="35" t="s">
        <v>1539</v>
      </c>
    </row>
    <row r="159" spans="1:2" x14ac:dyDescent="0.3">
      <c r="A159" s="39" t="s">
        <v>1540</v>
      </c>
      <c r="B159" s="35" t="s">
        <v>1541</v>
      </c>
    </row>
    <row r="160" spans="1:2" x14ac:dyDescent="0.3">
      <c r="A160" s="39" t="s">
        <v>1542</v>
      </c>
      <c r="B160" s="35" t="s">
        <v>1543</v>
      </c>
    </row>
    <row r="161" spans="1:2" x14ac:dyDescent="0.3">
      <c r="A161" s="39" t="s">
        <v>1544</v>
      </c>
      <c r="B161" s="35" t="s">
        <v>1545</v>
      </c>
    </row>
    <row r="162" spans="1:2" x14ac:dyDescent="0.3">
      <c r="A162" s="39" t="s">
        <v>1147</v>
      </c>
      <c r="B162" s="35" t="s">
        <v>1546</v>
      </c>
    </row>
    <row r="163" spans="1:2" x14ac:dyDescent="0.3">
      <c r="A163" s="39" t="s">
        <v>1311</v>
      </c>
      <c r="B163" s="35" t="s">
        <v>1547</v>
      </c>
    </row>
    <row r="164" spans="1:2" x14ac:dyDescent="0.3">
      <c r="A164" s="39" t="s">
        <v>1272</v>
      </c>
      <c r="B164" s="35" t="s">
        <v>1548</v>
      </c>
    </row>
    <row r="165" spans="1:2" x14ac:dyDescent="0.3">
      <c r="A165" s="39" t="s">
        <v>1159</v>
      </c>
      <c r="B165" s="35" t="s">
        <v>1549</v>
      </c>
    </row>
    <row r="166" spans="1:2" x14ac:dyDescent="0.3">
      <c r="A166" s="39" t="s">
        <v>995</v>
      </c>
      <c r="B166" s="35" t="s">
        <v>1550</v>
      </c>
    </row>
    <row r="167" spans="1:2" x14ac:dyDescent="0.3">
      <c r="A167" s="39" t="s">
        <v>1551</v>
      </c>
      <c r="B167" s="35" t="s">
        <v>1552</v>
      </c>
    </row>
    <row r="168" spans="1:2" x14ac:dyDescent="0.3">
      <c r="A168" s="39" t="s">
        <v>1122</v>
      </c>
      <c r="B168" s="35" t="s">
        <v>1553</v>
      </c>
    </row>
    <row r="169" spans="1:2" x14ac:dyDescent="0.3">
      <c r="A169" s="39" t="s">
        <v>1148</v>
      </c>
      <c r="B169" s="35" t="s">
        <v>1554</v>
      </c>
    </row>
    <row r="170" spans="1:2" x14ac:dyDescent="0.3">
      <c r="A170" s="39" t="s">
        <v>1149</v>
      </c>
      <c r="B170" s="35" t="s">
        <v>1555</v>
      </c>
    </row>
    <row r="171" spans="1:2" x14ac:dyDescent="0.3">
      <c r="A171" s="39" t="s">
        <v>1556</v>
      </c>
      <c r="B171" s="35" t="s">
        <v>1557</v>
      </c>
    </row>
    <row r="172" spans="1:2" x14ac:dyDescent="0.3">
      <c r="A172" s="39" t="s">
        <v>1558</v>
      </c>
      <c r="B172" s="35" t="s">
        <v>1559</v>
      </c>
    </row>
    <row r="173" spans="1:2" x14ac:dyDescent="0.3">
      <c r="A173" s="39" t="s">
        <v>1346</v>
      </c>
      <c r="B173" s="35" t="s">
        <v>1560</v>
      </c>
    </row>
    <row r="174" spans="1:2" x14ac:dyDescent="0.3">
      <c r="A174" s="39" t="s">
        <v>1561</v>
      </c>
      <c r="B174" s="35" t="s">
        <v>1562</v>
      </c>
    </row>
    <row r="175" spans="1:2" x14ac:dyDescent="0.3">
      <c r="A175" s="39" t="s">
        <v>1061</v>
      </c>
      <c r="B175" s="35" t="s">
        <v>1563</v>
      </c>
    </row>
    <row r="176" spans="1:2" x14ac:dyDescent="0.3">
      <c r="A176" s="39" t="s">
        <v>1136</v>
      </c>
      <c r="B176" s="35" t="s">
        <v>1564</v>
      </c>
    </row>
    <row r="177" spans="1:2" x14ac:dyDescent="0.3">
      <c r="A177" s="39" t="s">
        <v>1150</v>
      </c>
      <c r="B177" s="35" t="s">
        <v>1565</v>
      </c>
    </row>
    <row r="178" spans="1:2" x14ac:dyDescent="0.3">
      <c r="A178" s="39" t="s">
        <v>1124</v>
      </c>
      <c r="B178" s="35" t="s">
        <v>1566</v>
      </c>
    </row>
    <row r="179" spans="1:2" x14ac:dyDescent="0.3">
      <c r="A179" s="39" t="s">
        <v>1283</v>
      </c>
      <c r="B179" s="35" t="s">
        <v>1567</v>
      </c>
    </row>
    <row r="180" spans="1:2" x14ac:dyDescent="0.3">
      <c r="A180" s="39" t="s">
        <v>1151</v>
      </c>
      <c r="B180" s="35" t="s">
        <v>1568</v>
      </c>
    </row>
    <row r="181" spans="1:2" x14ac:dyDescent="0.3">
      <c r="A181" s="39" t="s">
        <v>1569</v>
      </c>
      <c r="B181" s="35" t="s">
        <v>1570</v>
      </c>
    </row>
    <row r="182" spans="1:2" x14ac:dyDescent="0.3">
      <c r="A182" s="39" t="s">
        <v>1571</v>
      </c>
      <c r="B182" s="35" t="s">
        <v>1572</v>
      </c>
    </row>
    <row r="183" spans="1:2" x14ac:dyDescent="0.3">
      <c r="A183" s="39" t="s">
        <v>1573</v>
      </c>
      <c r="B183" s="35" t="s">
        <v>1574</v>
      </c>
    </row>
    <row r="184" spans="1:2" x14ac:dyDescent="0.3">
      <c r="A184" s="39" t="s">
        <v>1575</v>
      </c>
      <c r="B184" s="35" t="s">
        <v>1576</v>
      </c>
    </row>
    <row r="185" spans="1:2" x14ac:dyDescent="0.3">
      <c r="A185" s="39" t="s">
        <v>1298</v>
      </c>
      <c r="B185" s="35" t="s">
        <v>1577</v>
      </c>
    </row>
    <row r="186" spans="1:2" x14ac:dyDescent="0.3">
      <c r="A186" s="39" t="s">
        <v>1093</v>
      </c>
      <c r="B186" s="35" t="s">
        <v>1578</v>
      </c>
    </row>
    <row r="187" spans="1:2" x14ac:dyDescent="0.3">
      <c r="A187" s="39" t="s">
        <v>1288</v>
      </c>
      <c r="B187" s="35" t="s">
        <v>1579</v>
      </c>
    </row>
    <row r="188" spans="1:2" x14ac:dyDescent="0.3">
      <c r="A188" s="39" t="s">
        <v>1152</v>
      </c>
      <c r="B188" s="35" t="s">
        <v>1580</v>
      </c>
    </row>
    <row r="189" spans="1:2" x14ac:dyDescent="0.3">
      <c r="A189" s="39" t="s">
        <v>1153</v>
      </c>
      <c r="B189" s="35" t="s">
        <v>1581</v>
      </c>
    </row>
    <row r="190" spans="1:2" x14ac:dyDescent="0.3">
      <c r="A190" s="39" t="s">
        <v>1290</v>
      </c>
      <c r="B190" s="35" t="s">
        <v>1582</v>
      </c>
    </row>
    <row r="191" spans="1:2" x14ac:dyDescent="0.3">
      <c r="A191" s="39" t="s">
        <v>1583</v>
      </c>
      <c r="B191" s="35" t="s">
        <v>1584</v>
      </c>
    </row>
    <row r="192" spans="1:2" x14ac:dyDescent="0.3">
      <c r="A192" s="39" t="s">
        <v>1154</v>
      </c>
      <c r="B192" s="35" t="s">
        <v>1585</v>
      </c>
    </row>
    <row r="193" spans="1:2" x14ac:dyDescent="0.3">
      <c r="A193" s="39" t="s">
        <v>1160</v>
      </c>
      <c r="B193" s="35" t="s">
        <v>1586</v>
      </c>
    </row>
    <row r="194" spans="1:2" x14ac:dyDescent="0.3">
      <c r="A194" s="39" t="s">
        <v>1587</v>
      </c>
      <c r="B194" s="35" t="s">
        <v>1588</v>
      </c>
    </row>
    <row r="195" spans="1:2" x14ac:dyDescent="0.3">
      <c r="A195" s="39" t="s">
        <v>1589</v>
      </c>
      <c r="B195" s="35" t="s">
        <v>1590</v>
      </c>
    </row>
    <row r="196" spans="1:2" x14ac:dyDescent="0.3">
      <c r="A196" s="39" t="s">
        <v>1312</v>
      </c>
      <c r="B196" s="35" t="s">
        <v>1591</v>
      </c>
    </row>
    <row r="197" spans="1:2" x14ac:dyDescent="0.3">
      <c r="A197" s="39" t="s">
        <v>1592</v>
      </c>
      <c r="B197" s="35" t="s">
        <v>1593</v>
      </c>
    </row>
    <row r="198" spans="1:2" x14ac:dyDescent="0.3">
      <c r="A198" s="39" t="s">
        <v>1295</v>
      </c>
      <c r="B198" s="35" t="s">
        <v>1594</v>
      </c>
    </row>
    <row r="199" spans="1:2" x14ac:dyDescent="0.3">
      <c r="A199" s="39" t="s">
        <v>1296</v>
      </c>
      <c r="B199" s="35" t="s">
        <v>1595</v>
      </c>
    </row>
    <row r="200" spans="1:2" x14ac:dyDescent="0.3">
      <c r="A200" s="39" t="s">
        <v>1299</v>
      </c>
      <c r="B200" s="35" t="s">
        <v>1596</v>
      </c>
    </row>
    <row r="201" spans="1:2" x14ac:dyDescent="0.3">
      <c r="A201" s="39" t="s">
        <v>1301</v>
      </c>
      <c r="B201" s="35" t="s">
        <v>1597</v>
      </c>
    </row>
    <row r="202" spans="1:2" x14ac:dyDescent="0.3">
      <c r="A202" s="39" t="s">
        <v>1598</v>
      </c>
      <c r="B202" s="35" t="s">
        <v>1599</v>
      </c>
    </row>
    <row r="203" spans="1:2" x14ac:dyDescent="0.3">
      <c r="A203" s="39" t="s">
        <v>1600</v>
      </c>
      <c r="B203" s="35" t="s">
        <v>1601</v>
      </c>
    </row>
    <row r="204" spans="1:2" x14ac:dyDescent="0.3">
      <c r="A204" s="39" t="s">
        <v>1303</v>
      </c>
      <c r="B204" s="35" t="s">
        <v>1602</v>
      </c>
    </row>
    <row r="205" spans="1:2" x14ac:dyDescent="0.3">
      <c r="A205" s="39" t="s">
        <v>1313</v>
      </c>
      <c r="B205" s="35" t="s">
        <v>1603</v>
      </c>
    </row>
    <row r="206" spans="1:2" x14ac:dyDescent="0.3">
      <c r="A206" s="39" t="s">
        <v>1604</v>
      </c>
      <c r="B206" s="35" t="s">
        <v>1605</v>
      </c>
    </row>
    <row r="207" spans="1:2" x14ac:dyDescent="0.3">
      <c r="A207" s="39" t="s">
        <v>1606</v>
      </c>
      <c r="B207" s="35" t="s">
        <v>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list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Nikita Muravyev</cp:lastModifiedBy>
  <dcterms:created xsi:type="dcterms:W3CDTF">2020-02-12T14:02:42Z</dcterms:created>
  <dcterms:modified xsi:type="dcterms:W3CDTF">2022-02-08T14:00:03Z</dcterms:modified>
</cp:coreProperties>
</file>